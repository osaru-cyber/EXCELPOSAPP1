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xWindow="390" yWindow="555" windowWidth="15975" windowHeight="7365" activeTab="2"/>
  </bookViews>
  <sheets>
    <sheet name="Items" sheetId="1" r:id="rId1"/>
    <sheet name="GODWYNS PLACE RECEIPT " sheetId="2" r:id="rId2"/>
    <sheet name="GODWYNS PLACE RECEIPT COMPLETE" sheetId="3" r:id="rId3"/>
    <sheet name="CERTAIN CUSTOMERS" sheetId="4" r:id="rId4"/>
  </sheets>
  <definedNames>
    <definedName name="ITEM_ID">OFFSET(Items!$A$2,1,,COUNTA(Items!$A$2:$A$9999)-1,1)</definedName>
    <definedName name="Price_per_kg">OFFSET(Items!$E$2,1,,COUNTA(Items!$E$2:$E$9999)-1,1)</definedName>
    <definedName name="_xlnm.Print_Area" localSheetId="1">'GODWYNS PLACE RECEIPT '!$B$34:$F$58</definedName>
    <definedName name="_xlnm.Print_Area" localSheetId="2">'GODWYNS PLACE RECEIPT COMPLETE'!$B$2:$F$27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3" i="3" l="1"/>
  <c r="O23" i="3" l="1"/>
  <c r="Q25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6" i="3"/>
  <c r="F20" i="3" l="1"/>
  <c r="R20" i="3" s="1"/>
  <c r="E7" i="3"/>
  <c r="Q7" i="3" s="1"/>
  <c r="E8" i="3"/>
  <c r="Q8" i="3" s="1"/>
  <c r="E9" i="3"/>
  <c r="Q9" i="3" s="1"/>
  <c r="E10" i="3"/>
  <c r="Q10" i="3" s="1"/>
  <c r="E11" i="3"/>
  <c r="Q11" i="3" s="1"/>
  <c r="E12" i="3"/>
  <c r="Q12" i="3" s="1"/>
  <c r="E13" i="3"/>
  <c r="Q13" i="3" s="1"/>
  <c r="E14" i="3"/>
  <c r="Q14" i="3" s="1"/>
  <c r="E15" i="3"/>
  <c r="Q15" i="3" s="1"/>
  <c r="E16" i="3"/>
  <c r="Q16" i="3" s="1"/>
  <c r="E17" i="3"/>
  <c r="Q17" i="3" s="1"/>
  <c r="E18" i="3"/>
  <c r="Q18" i="3" s="1"/>
  <c r="E19" i="3"/>
  <c r="Q19" i="3" s="1"/>
  <c r="E6" i="3"/>
  <c r="Q6" i="3" s="1"/>
  <c r="E24" i="3" l="1"/>
  <c r="Q24" i="3" s="1"/>
  <c r="E20" i="3"/>
  <c r="Q20" i="3" s="1"/>
  <c r="E55" i="2"/>
  <c r="E57" i="2" s="1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24" i="2" l="1"/>
  <c r="E26" i="2" s="1"/>
  <c r="K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7" i="2"/>
  <c r="C3" i="1" l="1"/>
  <c r="C18" i="1" s="1"/>
  <c r="E26" i="3"/>
  <c r="Q26" i="3" s="1"/>
  <c r="O5" i="3"/>
</calcChain>
</file>

<file path=xl/sharedStrings.xml><?xml version="1.0" encoding="utf-8"?>
<sst xmlns="http://schemas.openxmlformats.org/spreadsheetml/2006/main" count="148" uniqueCount="55">
  <si>
    <t>Herring</t>
  </si>
  <si>
    <t>Scomber</t>
  </si>
  <si>
    <t>Asolo</t>
  </si>
  <si>
    <t>Sese</t>
  </si>
  <si>
    <t>Meluza</t>
  </si>
  <si>
    <t>Chicken</t>
  </si>
  <si>
    <t>Goat meat</t>
  </si>
  <si>
    <t>Turkey</t>
  </si>
  <si>
    <t>Pork</t>
  </si>
  <si>
    <t>Assorted</t>
  </si>
  <si>
    <t>Cow skin</t>
  </si>
  <si>
    <t>Beef(200)</t>
  </si>
  <si>
    <t>Beef(250)</t>
  </si>
  <si>
    <t>Beef(1200)</t>
  </si>
  <si>
    <t>Quantity(Kg)</t>
  </si>
  <si>
    <t>Amount(N)</t>
  </si>
  <si>
    <t>PRICE per Kg</t>
  </si>
  <si>
    <t>GODWYNS PLACE</t>
  </si>
  <si>
    <t>ITEM</t>
  </si>
  <si>
    <t>QUANTITY</t>
  </si>
  <si>
    <t>AMOUNT</t>
  </si>
  <si>
    <t>DATE:</t>
  </si>
  <si>
    <t>ITEM ID</t>
  </si>
  <si>
    <t>TOTAL</t>
  </si>
  <si>
    <t>PRICE per Kg/piece</t>
  </si>
  <si>
    <t>PAID:</t>
  </si>
  <si>
    <t>CHANGE:</t>
  </si>
  <si>
    <t>Column1</t>
  </si>
  <si>
    <t>Column2</t>
  </si>
  <si>
    <t>Column3</t>
  </si>
  <si>
    <t>Column4</t>
  </si>
  <si>
    <t>QTY</t>
  </si>
  <si>
    <t>Name</t>
  </si>
  <si>
    <t>ID</t>
  </si>
  <si>
    <t>GladHeart</t>
  </si>
  <si>
    <t>Fegor</t>
  </si>
  <si>
    <t>Restaurant</t>
  </si>
  <si>
    <t>-</t>
  </si>
  <si>
    <r>
      <t xml:space="preserve">Quantity  </t>
    </r>
    <r>
      <rPr>
        <b/>
        <sz val="12"/>
        <color theme="1"/>
        <rFont val="Calibri"/>
        <family val="2"/>
      </rPr>
      <t xml:space="preserve"> (Kg)</t>
    </r>
  </si>
  <si>
    <r>
      <t xml:space="preserve">Amount     </t>
    </r>
    <r>
      <rPr>
        <b/>
        <sz val="12"/>
        <color theme="1"/>
        <rFont val="Calibri"/>
        <family val="2"/>
      </rPr>
      <t xml:space="preserve"> (N)</t>
    </r>
  </si>
  <si>
    <r>
      <t xml:space="preserve">Quantity  </t>
    </r>
    <r>
      <rPr>
        <b/>
        <sz val="12"/>
        <color theme="1"/>
        <rFont val="Calibri"/>
        <family val="2"/>
      </rPr>
      <t xml:space="preserve"> (NOT Kg)</t>
    </r>
  </si>
  <si>
    <r>
      <t xml:space="preserve">Quantity   </t>
    </r>
    <r>
      <rPr>
        <b/>
        <sz val="12"/>
        <color theme="1"/>
        <rFont val="Arial Unicode MS"/>
        <family val="2"/>
      </rPr>
      <t xml:space="preserve"> (Kg)</t>
    </r>
  </si>
  <si>
    <r>
      <t xml:space="preserve">Amount  </t>
    </r>
    <r>
      <rPr>
        <b/>
        <sz val="8.4499999999999993"/>
        <color theme="1"/>
        <rFont val="Arial Unicode MS"/>
        <family val="2"/>
      </rPr>
      <t xml:space="preserve"> </t>
    </r>
    <r>
      <rPr>
        <b/>
        <sz val="12"/>
        <color theme="1"/>
        <rFont val="Arial Unicode MS"/>
        <family val="2"/>
      </rPr>
      <t>(N)</t>
    </r>
  </si>
  <si>
    <t>Quantity (NOT Kg)</t>
  </si>
  <si>
    <t>ATM</t>
  </si>
  <si>
    <t>CASH</t>
  </si>
  <si>
    <t>CREDIT</t>
  </si>
  <si>
    <t>PAYMENT TYPE</t>
  </si>
  <si>
    <t xml:space="preserve">  METHOD OF PAYMENT</t>
  </si>
  <si>
    <t>.</t>
  </si>
  <si>
    <t>∙</t>
  </si>
  <si>
    <t>·</t>
  </si>
  <si>
    <t>CUSTOMER</t>
  </si>
  <si>
    <t>Zircon</t>
  </si>
  <si>
    <t>CUSTOMER: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</si>
</sst>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14"/>
      <color theme="1"/>
      <name val="Calibri"/>
      <family val="2"/>
      <scheme val="minor"/>
    </font>
    <font>
      <b/>
      <sz val="18"/>
      <color theme="1"/>
      <name val="Bradley Hand ITC"/>
      <family val="4"/>
    </font>
    <font>
      <sz val="12"/>
      <color theme="1"/>
      <name val="Arial Unicode MS"/>
      <family val="2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C00000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 Unicode MS"/>
      <family val="2"/>
    </font>
    <font>
      <b/>
      <sz val="8.4499999999999993"/>
      <color theme="1"/>
      <name val="Arial Unicode MS"/>
      <family val="2"/>
    </font>
    <font>
      <b/>
      <sz val="11"/>
      <color theme="1"/>
      <name val="Arial Unicode MS"/>
      <family val="2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theme="1"/>
      <name val="Calibri"/>
      <family val="2"/>
    </font>
    <font>
      <b/>
      <sz val="16"/>
      <color rgb="FF000000"/>
      <name val="Cambria"/>
      <family val="1"/>
    </font>
    <font>
      <b/>
      <sz val="20"/>
      <color rgb="FF000000"/>
      <name val="Cambria"/>
      <family val="1"/>
    </font>
    <font>
      <sz val="11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theme="0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5" borderId="0" xfId="0" applyFill="1"/>
    <xf numFmtId="0" fontId="5" fillId="2" borderId="3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right"/>
    </xf>
    <xf numFmtId="0" fontId="0" fillId="2" borderId="5" xfId="0" applyFill="1" applyBorder="1"/>
    <xf numFmtId="0" fontId="0" fillId="2" borderId="1" xfId="0" applyFill="1" applyBorder="1"/>
    <xf numFmtId="0" fontId="3" fillId="2" borderId="0" xfId="0" applyFont="1" applyFill="1" applyAlignment="1">
      <alignment vertical="top"/>
    </xf>
    <xf numFmtId="0" fontId="0" fillId="3" borderId="6" xfId="0" applyFill="1" applyBorder="1" applyAlignment="1">
      <alignment horizontal="center" vertical="center"/>
    </xf>
    <xf numFmtId="2" fontId="0" fillId="0" borderId="0" xfId="0" applyNumberFormat="1"/>
    <xf numFmtId="2" fontId="0" fillId="3" borderId="0" xfId="0" applyNumberFormat="1" applyFill="1"/>
    <xf numFmtId="2" fontId="0" fillId="3" borderId="6" xfId="0" applyNumberFormat="1" applyFill="1" applyBorder="1" applyAlignment="1">
      <alignment horizontal="center" vertical="center"/>
    </xf>
    <xf numFmtId="44" fontId="0" fillId="0" borderId="0" xfId="1" applyFont="1"/>
    <xf numFmtId="44" fontId="0" fillId="3" borderId="0" xfId="1" applyFont="1" applyFill="1"/>
    <xf numFmtId="44" fontId="0" fillId="3" borderId="6" xfId="1" applyFont="1" applyFill="1" applyBorder="1" applyAlignment="1">
      <alignment horizontal="center" vertical="center"/>
    </xf>
    <xf numFmtId="0" fontId="0" fillId="2" borderId="0" xfId="0" applyFill="1" applyAlignment="1">
      <alignment horizontal="right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2" borderId="0" xfId="0" applyFont="1" applyFill="1" applyAlignment="1">
      <alignment horizontal="center" vertical="top"/>
    </xf>
    <xf numFmtId="0" fontId="0" fillId="2" borderId="4" xfId="0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/>
    <xf numFmtId="0" fontId="7" fillId="2" borderId="7" xfId="0" applyFont="1" applyFill="1" applyBorder="1" applyAlignment="1">
      <alignment horizontal="center"/>
    </xf>
    <xf numFmtId="0" fontId="7" fillId="2" borderId="8" xfId="0" applyFont="1" applyFill="1" applyBorder="1"/>
    <xf numFmtId="0" fontId="4" fillId="2" borderId="0" xfId="0" applyFont="1" applyFill="1" applyAlignment="1"/>
    <xf numFmtId="0" fontId="6" fillId="2" borderId="0" xfId="0" applyFont="1" applyFill="1" applyAlignment="1">
      <alignment vertical="top"/>
    </xf>
    <xf numFmtId="0" fontId="6" fillId="2" borderId="0" xfId="0" applyFont="1" applyFill="1" applyAlignment="1">
      <alignment horizontal="center" vertical="top"/>
    </xf>
    <xf numFmtId="0" fontId="0" fillId="4" borderId="5" xfId="0" applyFill="1" applyBorder="1" applyAlignment="1">
      <alignment horizontal="center" wrapText="1"/>
    </xf>
    <xf numFmtId="0" fontId="8" fillId="0" borderId="0" xfId="0" applyFont="1"/>
    <xf numFmtId="0" fontId="0" fillId="4" borderId="9" xfId="0" applyFill="1" applyBorder="1" applyAlignment="1">
      <alignment horizontal="center"/>
    </xf>
    <xf numFmtId="0" fontId="5" fillId="2" borderId="10" xfId="0" applyFont="1" applyFill="1" applyBorder="1" applyAlignment="1">
      <alignment horizontal="right"/>
    </xf>
    <xf numFmtId="0" fontId="7" fillId="2" borderId="11" xfId="0" applyFont="1" applyFill="1" applyBorder="1" applyAlignment="1">
      <alignment horizontal="center"/>
    </xf>
    <xf numFmtId="0" fontId="7" fillId="2" borderId="12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5" fillId="2" borderId="1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4" fillId="2" borderId="0" xfId="0" applyFont="1" applyFill="1" applyBorder="1" applyAlignment="1"/>
    <xf numFmtId="0" fontId="0" fillId="2" borderId="13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6" fillId="2" borderId="0" xfId="0" applyFont="1" applyFill="1" applyBorder="1" applyAlignment="1">
      <alignment horizontal="center" vertical="top" wrapText="1"/>
    </xf>
    <xf numFmtId="0" fontId="3" fillId="2" borderId="0" xfId="0" applyFont="1" applyFill="1" applyBorder="1" applyAlignment="1">
      <alignment horizontal="right"/>
    </xf>
    <xf numFmtId="0" fontId="3" fillId="2" borderId="0" xfId="0" applyFont="1" applyFill="1" applyBorder="1"/>
    <xf numFmtId="0" fontId="7" fillId="2" borderId="1" xfId="0" applyFont="1" applyFill="1" applyBorder="1" applyAlignment="1">
      <alignment horizontal="center"/>
    </xf>
    <xf numFmtId="0" fontId="7" fillId="2" borderId="1" xfId="0" applyFont="1" applyFill="1" applyBorder="1"/>
    <xf numFmtId="0" fontId="14" fillId="3" borderId="5" xfId="0" applyFont="1" applyFill="1" applyBorder="1" applyAlignment="1">
      <alignment horizontal="center" wrapText="1"/>
    </xf>
    <xf numFmtId="0" fontId="0" fillId="2" borderId="0" xfId="0" applyFill="1" applyBorder="1" applyAlignment="1"/>
    <xf numFmtId="0" fontId="15" fillId="0" borderId="0" xfId="0" applyFont="1"/>
    <xf numFmtId="0" fontId="10" fillId="2" borderId="15" xfId="0" applyFont="1" applyFill="1" applyBorder="1"/>
    <xf numFmtId="0" fontId="0" fillId="2" borderId="15" xfId="0" applyFill="1" applyBorder="1"/>
    <xf numFmtId="0" fontId="0" fillId="2" borderId="16" xfId="0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top" wrapText="1"/>
    </xf>
    <xf numFmtId="0" fontId="0" fillId="4" borderId="4" xfId="0" applyFill="1" applyBorder="1" applyAlignment="1">
      <alignment horizontal="center"/>
    </xf>
    <xf numFmtId="0" fontId="7" fillId="2" borderId="2" xfId="0" applyFont="1" applyFill="1" applyBorder="1"/>
    <xf numFmtId="0" fontId="0" fillId="2" borderId="16" xfId="0" applyFill="1" applyBorder="1"/>
    <xf numFmtId="0" fontId="0" fillId="2" borderId="5" xfId="0" applyFill="1" applyBorder="1" applyAlignment="1">
      <alignment horizontal="center"/>
    </xf>
    <xf numFmtId="0" fontId="0" fillId="2" borderId="3" xfId="0" applyFill="1" applyBorder="1"/>
    <xf numFmtId="0" fontId="14" fillId="3" borderId="16" xfId="0" applyFont="1" applyFill="1" applyBorder="1" applyAlignment="1">
      <alignment horizontal="left" vertical="top"/>
    </xf>
    <xf numFmtId="0" fontId="14" fillId="3" borderId="3" xfId="0" applyFont="1" applyFill="1" applyBorder="1" applyAlignment="1">
      <alignment wrapText="1"/>
    </xf>
    <xf numFmtId="0" fontId="12" fillId="3" borderId="4" xfId="0" applyFont="1" applyFill="1" applyBorder="1" applyAlignment="1">
      <alignment horizontal="right"/>
    </xf>
    <xf numFmtId="0" fontId="12" fillId="3" borderId="14" xfId="0" applyFont="1" applyFill="1" applyBorder="1"/>
    <xf numFmtId="0" fontId="12" fillId="3" borderId="15" xfId="0" applyFont="1" applyFill="1" applyBorder="1"/>
    <xf numFmtId="0" fontId="12" fillId="3" borderId="0" xfId="0" applyFont="1" applyFill="1" applyBorder="1"/>
    <xf numFmtId="0" fontId="12" fillId="3" borderId="13" xfId="0" applyFont="1" applyFill="1" applyBorder="1"/>
    <xf numFmtId="0" fontId="12" fillId="3" borderId="16" xfId="0" applyFont="1" applyFill="1" applyBorder="1"/>
    <xf numFmtId="0" fontId="12" fillId="3" borderId="5" xfId="0" applyFont="1" applyFill="1" applyBorder="1"/>
    <xf numFmtId="0" fontId="12" fillId="3" borderId="3" xfId="0" applyFont="1" applyFill="1" applyBorder="1"/>
    <xf numFmtId="0" fontId="12" fillId="3" borderId="2" xfId="0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7" fillId="2" borderId="0" xfId="0" applyFont="1" applyFill="1" applyBorder="1"/>
    <xf numFmtId="0" fontId="20" fillId="6" borderId="0" xfId="0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/>
    <xf numFmtId="0" fontId="4" fillId="2" borderId="14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 wrapText="1"/>
    </xf>
    <xf numFmtId="0" fontId="12" fillId="3" borderId="0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right"/>
    </xf>
    <xf numFmtId="0" fontId="15" fillId="6" borderId="0" xfId="0" applyFont="1" applyFill="1" applyBorder="1"/>
    <xf numFmtId="0" fontId="12" fillId="3" borderId="13" xfId="0" applyFont="1" applyFill="1" applyBorder="1" applyAlignment="1">
      <alignment horizontal="center"/>
    </xf>
    <xf numFmtId="0" fontId="14" fillId="3" borderId="15" xfId="0" applyFont="1" applyFill="1" applyBorder="1"/>
    <xf numFmtId="0" fontId="12" fillId="3" borderId="15" xfId="0" applyFont="1" applyFill="1" applyBorder="1" applyAlignment="1">
      <alignment vertical="top"/>
    </xf>
  </cellXfs>
  <cellStyles count="2">
    <cellStyle name="Currency" xfId="1" builtinId="4"/>
    <cellStyle name="Normal" xfId="0" builtinId="0"/>
  </cellStyles>
  <dxfs count="11"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border diagonalUp="0" diagonalDown="0">
        <left style="dotted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dott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scheme val="none"/>
      </font>
      <fill>
        <patternFill patternType="solid">
          <fgColor indexed="64"/>
          <bgColor theme="4" tint="0.59999389629810485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542925</xdr:colOff>
      <xdr:row>23</xdr:row>
      <xdr:rowOff>161927</xdr:rowOff>
    </xdr:from>
    <xdr:to>
      <xdr:col>8</xdr:col>
      <xdr:colOff>390525</xdr:colOff>
      <xdr:row>25</xdr:row>
      <xdr:rowOff>28577</xdr:rowOff>
    </xdr:to>
    <xdr:sp macro="" textlink="">
      <xdr:nvSpPr>
        <xdr:cNvPr id="17" name="BUTNPRINT"/>
        <xdr:cNvSpPr/>
      </xdr:nvSpPr>
      <xdr:spPr>
        <a:xfrm>
          <a:off x="5438775" y="6867527"/>
          <a:ext cx="1609725" cy="361950"/>
        </a:xfrm>
        <a:prstGeom prst="roundRect">
          <a:avLst>
            <a:gd name="adj" fmla="val 456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PRINT</a:t>
          </a:r>
          <a:endParaRPr lang="en-US" sz="6000"/>
        </a:p>
      </xdr:txBody>
    </xdr:sp>
    <xdr:clientData/>
  </xdr:twoCellAnchor>
  <xdr:twoCellAnchor>
    <xdr:from>
      <xdr:col>4</xdr:col>
      <xdr:colOff>619125</xdr:colOff>
      <xdr:row>28</xdr:row>
      <xdr:rowOff>114303</xdr:rowOff>
    </xdr:from>
    <xdr:to>
      <xdr:col>7</xdr:col>
      <xdr:colOff>28575</xdr:colOff>
      <xdr:row>30</xdr:row>
      <xdr:rowOff>95253</xdr:rowOff>
    </xdr:to>
    <xdr:sp macro="" textlink="">
      <xdr:nvSpPr>
        <xdr:cNvPr id="18" name="BUTN8"/>
        <xdr:cNvSpPr/>
      </xdr:nvSpPr>
      <xdr:spPr>
        <a:xfrm>
          <a:off x="4762500" y="7943853"/>
          <a:ext cx="134302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8</a:t>
          </a:r>
          <a:endParaRPr lang="en-US" sz="6000"/>
        </a:p>
      </xdr:txBody>
    </xdr:sp>
    <xdr:clientData/>
  </xdr:twoCellAnchor>
  <xdr:twoCellAnchor>
    <xdr:from>
      <xdr:col>5</xdr:col>
      <xdr:colOff>180975</xdr:colOff>
      <xdr:row>6</xdr:row>
      <xdr:rowOff>228600</xdr:rowOff>
    </xdr:from>
    <xdr:to>
      <xdr:col>8</xdr:col>
      <xdr:colOff>228600</xdr:colOff>
      <xdr:row>19</xdr:row>
      <xdr:rowOff>228600</xdr:rowOff>
    </xdr:to>
    <xdr:grpSp>
      <xdr:nvGrpSpPr>
        <xdr:cNvPr id="26" name="Group 25"/>
        <xdr:cNvGrpSpPr/>
      </xdr:nvGrpSpPr>
      <xdr:grpSpPr>
        <a:xfrm>
          <a:off x="4381500" y="1962150"/>
          <a:ext cx="1647825" cy="4086225"/>
          <a:chOff x="5657850" y="2228850"/>
          <a:chExt cx="1647825" cy="4086225"/>
        </a:xfrm>
      </xdr:grpSpPr>
      <xdr:grpSp>
        <xdr:nvGrpSpPr>
          <xdr:cNvPr id="2" name="Group 1"/>
          <xdr:cNvGrpSpPr/>
        </xdr:nvGrpSpPr>
        <xdr:grpSpPr>
          <a:xfrm>
            <a:off x="5657850" y="2228850"/>
            <a:ext cx="1647825" cy="4086225"/>
            <a:chOff x="5648325" y="2209800"/>
            <a:chExt cx="1647825" cy="4086225"/>
          </a:xfrm>
        </xdr:grpSpPr>
        <xdr:sp macro="" textlink="">
          <xdr:nvSpPr>
            <xdr:cNvPr id="19" name="BUTNATM"/>
            <xdr:cNvSpPr/>
          </xdr:nvSpPr>
          <xdr:spPr>
            <a:xfrm>
              <a:off x="5762626" y="5505451"/>
              <a:ext cx="1428750" cy="361950"/>
            </a:xfrm>
            <a:prstGeom prst="round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ATM</a:t>
              </a:r>
              <a:endParaRPr lang="en-US" sz="6000"/>
            </a:p>
          </xdr:txBody>
        </xdr:sp>
        <xdr:grpSp>
          <xdr:nvGrpSpPr>
            <xdr:cNvPr id="25" name="Group 24"/>
            <xdr:cNvGrpSpPr/>
          </xdr:nvGrpSpPr>
          <xdr:grpSpPr>
            <a:xfrm>
              <a:off x="5648325" y="2209800"/>
              <a:ext cx="1647825" cy="4086225"/>
              <a:chOff x="4848225" y="1962150"/>
              <a:chExt cx="1828800" cy="4000501"/>
            </a:xfrm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grpSp>
            <xdr:nvGrpSpPr>
              <xdr:cNvPr id="23" name="Group 22"/>
              <xdr:cNvGrpSpPr/>
            </xdr:nvGrpSpPr>
            <xdr:grpSpPr>
              <a:xfrm>
                <a:off x="4848225" y="1962150"/>
                <a:ext cx="1828800" cy="4000501"/>
                <a:chOff x="4848225" y="1962150"/>
                <a:chExt cx="1828800" cy="4000501"/>
              </a:xfrm>
            </xdr:grpSpPr>
            <xdr:grpSp>
              <xdr:nvGrpSpPr>
                <xdr:cNvPr id="21" name="Group 20"/>
                <xdr:cNvGrpSpPr/>
              </xdr:nvGrpSpPr>
              <xdr:grpSpPr>
                <a:xfrm>
                  <a:off x="4848225" y="1962150"/>
                  <a:ext cx="1828800" cy="2371725"/>
                  <a:chOff x="4848225" y="1962150"/>
                  <a:chExt cx="1828800" cy="2371725"/>
                </a:xfrm>
              </xdr:grpSpPr>
              <xdr:sp macro="" textlink="">
                <xdr:nvSpPr>
                  <xdr:cNvPr id="3" name="BUTN1"/>
                  <xdr:cNvSpPr/>
                </xdr:nvSpPr>
                <xdr:spPr>
                  <a:xfrm>
                    <a:off x="4857750" y="19621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1</a:t>
                    </a:r>
                    <a:endParaRPr lang="en-US" sz="6000"/>
                  </a:p>
                </xdr:txBody>
              </xdr:sp>
              <xdr:sp macro="" textlink="">
                <xdr:nvSpPr>
                  <xdr:cNvPr id="4" name="BUTN2"/>
                  <xdr:cNvSpPr/>
                </xdr:nvSpPr>
                <xdr:spPr>
                  <a:xfrm>
                    <a:off x="5495925" y="19621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2</a:t>
                    </a:r>
                    <a:endParaRPr lang="en-US" sz="6000"/>
                  </a:p>
                </xdr:txBody>
              </xdr:sp>
              <xdr:sp macro="" textlink="">
                <xdr:nvSpPr>
                  <xdr:cNvPr id="5" name="BUTN3"/>
                  <xdr:cNvSpPr/>
                </xdr:nvSpPr>
                <xdr:spPr>
                  <a:xfrm>
                    <a:off x="6115050" y="19621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3</a:t>
                    </a:r>
                    <a:endParaRPr lang="en-US" sz="6000"/>
                  </a:p>
                </xdr:txBody>
              </xdr:sp>
              <xdr:sp macro="" textlink="">
                <xdr:nvSpPr>
                  <xdr:cNvPr id="6" name="BUTN4"/>
                  <xdr:cNvSpPr/>
                </xdr:nvSpPr>
                <xdr:spPr>
                  <a:xfrm>
                    <a:off x="4848225" y="260032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4</a:t>
                    </a:r>
                    <a:endParaRPr lang="en-US" sz="6000"/>
                  </a:p>
                </xdr:txBody>
              </xdr:sp>
              <xdr:sp macro="" textlink="">
                <xdr:nvSpPr>
                  <xdr:cNvPr id="7" name="BUTN5"/>
                  <xdr:cNvSpPr/>
                </xdr:nvSpPr>
                <xdr:spPr>
                  <a:xfrm>
                    <a:off x="5467350" y="26098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5</a:t>
                    </a:r>
                    <a:endParaRPr lang="en-US" sz="6000"/>
                  </a:p>
                </xdr:txBody>
              </xdr:sp>
              <xdr:sp macro="" textlink="">
                <xdr:nvSpPr>
                  <xdr:cNvPr id="8" name="BUTN6"/>
                  <xdr:cNvSpPr/>
                </xdr:nvSpPr>
                <xdr:spPr>
                  <a:xfrm>
                    <a:off x="6162675" y="260032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6</a:t>
                    </a:r>
                    <a:endParaRPr lang="en-US" sz="6000"/>
                  </a:p>
                </xdr:txBody>
              </xdr:sp>
              <xdr:sp macro="" textlink="">
                <xdr:nvSpPr>
                  <xdr:cNvPr id="9" name="BUTN7"/>
                  <xdr:cNvSpPr/>
                </xdr:nvSpPr>
                <xdr:spPr>
                  <a:xfrm>
                    <a:off x="4857750" y="32194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7</a:t>
                    </a:r>
                    <a:endParaRPr lang="en-US" sz="6000"/>
                  </a:p>
                </xdr:txBody>
              </xdr:sp>
              <xdr:sp macro="" textlink="">
                <xdr:nvSpPr>
                  <xdr:cNvPr id="10" name="BUTN8"/>
                  <xdr:cNvSpPr/>
                </xdr:nvSpPr>
                <xdr:spPr>
                  <a:xfrm>
                    <a:off x="5514975" y="322897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8</a:t>
                    </a:r>
                    <a:endParaRPr lang="en-US" sz="6000"/>
                  </a:p>
                </xdr:txBody>
              </xdr:sp>
              <xdr:sp macro="" textlink="">
                <xdr:nvSpPr>
                  <xdr:cNvPr id="11" name="BUTN9"/>
                  <xdr:cNvSpPr/>
                </xdr:nvSpPr>
                <xdr:spPr>
                  <a:xfrm>
                    <a:off x="6153150" y="323850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9</a:t>
                    </a:r>
                    <a:endParaRPr lang="en-US" sz="6000"/>
                  </a:p>
                </xdr:txBody>
              </xdr:sp>
              <xdr:sp macro="" textlink="">
                <xdr:nvSpPr>
                  <xdr:cNvPr id="12" name="BUTN0"/>
                  <xdr:cNvSpPr/>
                </xdr:nvSpPr>
                <xdr:spPr>
                  <a:xfrm>
                    <a:off x="4876800" y="385762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0</a:t>
                    </a:r>
                    <a:endParaRPr lang="en-US" sz="6000"/>
                  </a:p>
                </xdr:txBody>
              </xdr:sp>
              <xdr:sp macro="" textlink="">
                <xdr:nvSpPr>
                  <xdr:cNvPr id="13" name="BUTN."/>
                  <xdr:cNvSpPr/>
                </xdr:nvSpPr>
                <xdr:spPr>
                  <a:xfrm>
                    <a:off x="5534025" y="385762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.</a:t>
                    </a:r>
                    <a:endParaRPr lang="en-US" sz="6000"/>
                  </a:p>
                </xdr:txBody>
              </xdr:sp>
              <xdr:sp macro="" textlink="">
                <xdr:nvSpPr>
                  <xdr:cNvPr id="14" name="BUTNCLEAR"/>
                  <xdr:cNvSpPr/>
                </xdr:nvSpPr>
                <xdr:spPr>
                  <a:xfrm>
                    <a:off x="6172200" y="38671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endParaRPr lang="en-US" sz="6000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22" name="Group 21"/>
                <xdr:cNvGrpSpPr/>
              </xdr:nvGrpSpPr>
              <xdr:grpSpPr>
                <a:xfrm>
                  <a:off x="4953000" y="4752976"/>
                  <a:ext cx="1609725" cy="1209675"/>
                  <a:chOff x="4953000" y="4752976"/>
                  <a:chExt cx="1609725" cy="1209675"/>
                </a:xfrm>
              </xdr:grpSpPr>
              <xdr:sp macro="" textlink="">
                <xdr:nvSpPr>
                  <xdr:cNvPr id="16" name="BUTNCASH"/>
                  <xdr:cNvSpPr/>
                </xdr:nvSpPr>
                <xdr:spPr>
                  <a:xfrm>
                    <a:off x="4953000" y="4752976"/>
                    <a:ext cx="1609725" cy="361950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2800"/>
                      <a:t>CASH</a:t>
                    </a:r>
                    <a:endParaRPr lang="en-US" sz="5400"/>
                  </a:p>
                </xdr:txBody>
              </xdr:sp>
              <xdr:sp macro="" textlink="">
                <xdr:nvSpPr>
                  <xdr:cNvPr id="20" name="BUTNCREDIT"/>
                  <xdr:cNvSpPr/>
                </xdr:nvSpPr>
                <xdr:spPr>
                  <a:xfrm>
                    <a:off x="4953000" y="5600701"/>
                    <a:ext cx="1609725" cy="361950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2800"/>
                      <a:t>CREDIT</a:t>
                    </a:r>
                    <a:endParaRPr lang="en-US" sz="5400"/>
                  </a:p>
                </xdr:txBody>
              </xdr:sp>
            </xdr:grpSp>
          </xdr:grpSp>
          <xdr:sp macro="" textlink="">
            <xdr:nvSpPr>
              <xdr:cNvPr id="24" name="Left Arrow 23"/>
              <xdr:cNvSpPr/>
            </xdr:nvSpPr>
            <xdr:spPr>
              <a:xfrm>
                <a:off x="6200775" y="3971925"/>
                <a:ext cx="409575" cy="266700"/>
              </a:xfrm>
              <a:prstGeom prst="leftArrow">
                <a:avLst/>
              </a:prstGeom>
              <a:solidFill>
                <a:schemeClr val="tx1"/>
              </a:solidFill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p3d>
                <a:bevelT w="190500" h="381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>
                  <a:solidFill>
                    <a:schemeClr val="tx1"/>
                  </a:solidFill>
                </a:endParaRPr>
              </a:p>
            </xdr:txBody>
          </xdr:sp>
        </xdr:grpSp>
      </xdr:grpSp>
      <xdr:sp macro="" textlink="">
        <xdr:nvSpPr>
          <xdr:cNvPr id="15" name="Left Arrow 14"/>
          <xdr:cNvSpPr/>
        </xdr:nvSpPr>
        <xdr:spPr>
          <a:xfrm>
            <a:off x="6896100" y="4295774"/>
            <a:ext cx="304800" cy="219075"/>
          </a:xfrm>
          <a:prstGeom prst="leftArrow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</xdr:grpSp>
    <xdr:clientData/>
  </xdr:twoCellAnchor>
  <xdr:twoCellAnchor editAs="oneCell">
    <xdr:from>
      <xdr:col>5</xdr:col>
      <xdr:colOff>542925</xdr:colOff>
      <xdr:row>54</xdr:row>
      <xdr:rowOff>161927</xdr:rowOff>
    </xdr:from>
    <xdr:to>
      <xdr:col>8</xdr:col>
      <xdr:colOff>390525</xdr:colOff>
      <xdr:row>56</xdr:row>
      <xdr:rowOff>47627</xdr:rowOff>
    </xdr:to>
    <xdr:sp macro="[0]!one_Click_Print" textlink="">
      <xdr:nvSpPr>
        <xdr:cNvPr id="27" name="BUTNPRINT"/>
        <xdr:cNvSpPr/>
      </xdr:nvSpPr>
      <xdr:spPr>
        <a:xfrm>
          <a:off x="5467350" y="6867527"/>
          <a:ext cx="1609725" cy="361950"/>
        </a:xfrm>
        <a:prstGeom prst="roundRect">
          <a:avLst>
            <a:gd name="adj" fmla="val 456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PRINT</a:t>
          </a:r>
          <a:endParaRPr lang="en-US" sz="6000"/>
        </a:p>
      </xdr:txBody>
    </xdr:sp>
    <xdr:clientData/>
  </xdr:twoCellAnchor>
  <xdr:twoCellAnchor>
    <xdr:from>
      <xdr:col>6</xdr:col>
      <xdr:colOff>95251</xdr:colOff>
      <xdr:row>36</xdr:row>
      <xdr:rowOff>257175</xdr:rowOff>
    </xdr:from>
    <xdr:to>
      <xdr:col>8</xdr:col>
      <xdr:colOff>352425</xdr:colOff>
      <xdr:row>50</xdr:row>
      <xdr:rowOff>247651</xdr:rowOff>
    </xdr:to>
    <xdr:grpSp>
      <xdr:nvGrpSpPr>
        <xdr:cNvPr id="28" name="Group 27"/>
        <xdr:cNvGrpSpPr/>
      </xdr:nvGrpSpPr>
      <xdr:grpSpPr>
        <a:xfrm>
          <a:off x="4676776" y="9848850"/>
          <a:ext cx="1476374" cy="4333876"/>
          <a:chOff x="5657850" y="2228850"/>
          <a:chExt cx="1647825" cy="4086225"/>
        </a:xfrm>
      </xdr:grpSpPr>
      <xdr:grpSp>
        <xdr:nvGrpSpPr>
          <xdr:cNvPr id="29" name="Group 28"/>
          <xdr:cNvGrpSpPr/>
        </xdr:nvGrpSpPr>
        <xdr:grpSpPr>
          <a:xfrm>
            <a:off x="5657850" y="2228850"/>
            <a:ext cx="1647825" cy="4086225"/>
            <a:chOff x="5648325" y="2209800"/>
            <a:chExt cx="1647825" cy="4086225"/>
          </a:xfrm>
        </xdr:grpSpPr>
        <xdr:sp macro="" textlink="">
          <xdr:nvSpPr>
            <xdr:cNvPr id="31" name="BUTNATM"/>
            <xdr:cNvSpPr/>
          </xdr:nvSpPr>
          <xdr:spPr>
            <a:xfrm>
              <a:off x="5762626" y="5505451"/>
              <a:ext cx="1428750" cy="361950"/>
            </a:xfrm>
            <a:prstGeom prst="round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ATM</a:t>
              </a:r>
              <a:endParaRPr lang="en-US" sz="6000"/>
            </a:p>
          </xdr:txBody>
        </xdr:sp>
        <xdr:grpSp>
          <xdr:nvGrpSpPr>
            <xdr:cNvPr id="32" name="Group 31"/>
            <xdr:cNvGrpSpPr/>
          </xdr:nvGrpSpPr>
          <xdr:grpSpPr>
            <a:xfrm>
              <a:off x="5648325" y="2209800"/>
              <a:ext cx="1647825" cy="4086225"/>
              <a:chOff x="4848225" y="1962150"/>
              <a:chExt cx="1828800" cy="4000501"/>
            </a:xfrm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grpSp>
            <xdr:nvGrpSpPr>
              <xdr:cNvPr id="33" name="Group 32"/>
              <xdr:cNvGrpSpPr/>
            </xdr:nvGrpSpPr>
            <xdr:grpSpPr>
              <a:xfrm>
                <a:off x="4848225" y="1962150"/>
                <a:ext cx="1828800" cy="4000501"/>
                <a:chOff x="4848225" y="1962150"/>
                <a:chExt cx="1828800" cy="4000501"/>
              </a:xfrm>
            </xdr:grpSpPr>
            <xdr:grpSp>
              <xdr:nvGrpSpPr>
                <xdr:cNvPr id="35" name="Group 34"/>
                <xdr:cNvGrpSpPr/>
              </xdr:nvGrpSpPr>
              <xdr:grpSpPr>
                <a:xfrm>
                  <a:off x="4848225" y="1962150"/>
                  <a:ext cx="1828800" cy="2371725"/>
                  <a:chOff x="4848225" y="1962150"/>
                  <a:chExt cx="1828800" cy="2371725"/>
                </a:xfrm>
              </xdr:grpSpPr>
              <xdr:sp macro="" textlink="">
                <xdr:nvSpPr>
                  <xdr:cNvPr id="39" name="BUTN1"/>
                  <xdr:cNvSpPr/>
                </xdr:nvSpPr>
                <xdr:spPr>
                  <a:xfrm>
                    <a:off x="4857750" y="19621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1</a:t>
                    </a:r>
                    <a:endParaRPr lang="en-US" sz="6000"/>
                  </a:p>
                </xdr:txBody>
              </xdr:sp>
              <xdr:sp macro="" textlink="">
                <xdr:nvSpPr>
                  <xdr:cNvPr id="40" name="BUTN2"/>
                  <xdr:cNvSpPr/>
                </xdr:nvSpPr>
                <xdr:spPr>
                  <a:xfrm>
                    <a:off x="5495925" y="19621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2</a:t>
                    </a:r>
                    <a:endParaRPr lang="en-US" sz="6000"/>
                  </a:p>
                </xdr:txBody>
              </xdr:sp>
              <xdr:sp macro="" textlink="">
                <xdr:nvSpPr>
                  <xdr:cNvPr id="41" name="BUTN3"/>
                  <xdr:cNvSpPr/>
                </xdr:nvSpPr>
                <xdr:spPr>
                  <a:xfrm>
                    <a:off x="6115050" y="19621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3</a:t>
                    </a:r>
                    <a:endParaRPr lang="en-US" sz="6000"/>
                  </a:p>
                </xdr:txBody>
              </xdr:sp>
              <xdr:sp macro="" textlink="">
                <xdr:nvSpPr>
                  <xdr:cNvPr id="42" name="BUTN4"/>
                  <xdr:cNvSpPr/>
                </xdr:nvSpPr>
                <xdr:spPr>
                  <a:xfrm>
                    <a:off x="4848225" y="260032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4</a:t>
                    </a:r>
                    <a:endParaRPr lang="en-US" sz="6000"/>
                  </a:p>
                </xdr:txBody>
              </xdr:sp>
              <xdr:sp macro="" textlink="">
                <xdr:nvSpPr>
                  <xdr:cNvPr id="43" name="BUTN5"/>
                  <xdr:cNvSpPr/>
                </xdr:nvSpPr>
                <xdr:spPr>
                  <a:xfrm>
                    <a:off x="5467350" y="26098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5</a:t>
                    </a:r>
                    <a:endParaRPr lang="en-US" sz="6000"/>
                  </a:p>
                </xdr:txBody>
              </xdr:sp>
              <xdr:sp macro="" textlink="">
                <xdr:nvSpPr>
                  <xdr:cNvPr id="44" name="BUTN6"/>
                  <xdr:cNvSpPr/>
                </xdr:nvSpPr>
                <xdr:spPr>
                  <a:xfrm>
                    <a:off x="6162675" y="260032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6</a:t>
                    </a:r>
                    <a:endParaRPr lang="en-US" sz="6000"/>
                  </a:p>
                </xdr:txBody>
              </xdr:sp>
              <xdr:sp macro="" textlink="">
                <xdr:nvSpPr>
                  <xdr:cNvPr id="45" name="BUTN7"/>
                  <xdr:cNvSpPr/>
                </xdr:nvSpPr>
                <xdr:spPr>
                  <a:xfrm>
                    <a:off x="4857750" y="32194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7</a:t>
                    </a:r>
                    <a:endParaRPr lang="en-US" sz="6000"/>
                  </a:p>
                </xdr:txBody>
              </xdr:sp>
              <xdr:sp macro="" textlink="">
                <xdr:nvSpPr>
                  <xdr:cNvPr id="46" name="BUTN8"/>
                  <xdr:cNvSpPr/>
                </xdr:nvSpPr>
                <xdr:spPr>
                  <a:xfrm>
                    <a:off x="5514975" y="322897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8</a:t>
                    </a:r>
                    <a:endParaRPr lang="en-US" sz="6000"/>
                  </a:p>
                </xdr:txBody>
              </xdr:sp>
              <xdr:sp macro="" textlink="">
                <xdr:nvSpPr>
                  <xdr:cNvPr id="47" name="BUTN9"/>
                  <xdr:cNvSpPr/>
                </xdr:nvSpPr>
                <xdr:spPr>
                  <a:xfrm>
                    <a:off x="6153150" y="323850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9</a:t>
                    </a:r>
                    <a:endParaRPr lang="en-US" sz="6000"/>
                  </a:p>
                </xdr:txBody>
              </xdr:sp>
              <xdr:sp macro="" textlink="">
                <xdr:nvSpPr>
                  <xdr:cNvPr id="48" name="BUTN0"/>
                  <xdr:cNvSpPr/>
                </xdr:nvSpPr>
                <xdr:spPr>
                  <a:xfrm>
                    <a:off x="4876800" y="385762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0</a:t>
                    </a:r>
                    <a:endParaRPr lang="en-US" sz="6000"/>
                  </a:p>
                </xdr:txBody>
              </xdr:sp>
              <xdr:sp macro="" textlink="">
                <xdr:nvSpPr>
                  <xdr:cNvPr id="49" name="BUTN."/>
                  <xdr:cNvSpPr/>
                </xdr:nvSpPr>
                <xdr:spPr>
                  <a:xfrm>
                    <a:off x="5534025" y="3857625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3200"/>
                      <a:t>.</a:t>
                    </a:r>
                    <a:endParaRPr lang="en-US" sz="6000"/>
                  </a:p>
                </xdr:txBody>
              </xdr:sp>
              <xdr:sp macro="" textlink="">
                <xdr:nvSpPr>
                  <xdr:cNvPr id="50" name="BUTNCLEAR"/>
                  <xdr:cNvSpPr/>
                </xdr:nvSpPr>
                <xdr:spPr>
                  <a:xfrm>
                    <a:off x="6172200" y="3867150"/>
                    <a:ext cx="504825" cy="466725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endParaRPr lang="en-US" sz="6000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36" name="Group 35"/>
                <xdr:cNvGrpSpPr/>
              </xdr:nvGrpSpPr>
              <xdr:grpSpPr>
                <a:xfrm>
                  <a:off x="4953000" y="4752976"/>
                  <a:ext cx="1609725" cy="1209675"/>
                  <a:chOff x="4953000" y="4752976"/>
                  <a:chExt cx="1609725" cy="1209675"/>
                </a:xfrm>
              </xdr:grpSpPr>
              <xdr:sp macro="" textlink="">
                <xdr:nvSpPr>
                  <xdr:cNvPr id="37" name="BUTNCASH"/>
                  <xdr:cNvSpPr/>
                </xdr:nvSpPr>
                <xdr:spPr>
                  <a:xfrm>
                    <a:off x="4953000" y="4752976"/>
                    <a:ext cx="1609725" cy="361950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2800"/>
                      <a:t>CASH</a:t>
                    </a:r>
                    <a:endParaRPr lang="en-US" sz="5400"/>
                  </a:p>
                </xdr:txBody>
              </xdr:sp>
              <xdr:sp macro="" textlink="">
                <xdr:nvSpPr>
                  <xdr:cNvPr id="38" name="BUTNCREDIT"/>
                  <xdr:cNvSpPr/>
                </xdr:nvSpPr>
                <xdr:spPr>
                  <a:xfrm>
                    <a:off x="4953000" y="5600701"/>
                    <a:ext cx="1609725" cy="361950"/>
                  </a:xfrm>
                  <a:prstGeom prst="roundRect">
                    <a:avLst/>
                  </a:prstGeom>
                  <a:ln>
                    <a:noFill/>
                  </a:ln>
                  <a:effectLst>
                    <a:outerShdw blurRad="44450" dist="27940" dir="5400000" algn="ctr">
                      <a:srgbClr val="000000">
                        <a:alpha val="32000"/>
                      </a:srgbClr>
                    </a:outerShdw>
                  </a:effectLst>
                  <a:sp3d>
                    <a:bevelT w="190500" h="38100"/>
                  </a:sp3d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2800"/>
                      <a:t>CREDIT</a:t>
                    </a:r>
                    <a:endParaRPr lang="en-US" sz="5400"/>
                  </a:p>
                </xdr:txBody>
              </xdr:sp>
            </xdr:grpSp>
          </xdr:grpSp>
          <xdr:sp macro="" textlink="">
            <xdr:nvSpPr>
              <xdr:cNvPr id="34" name="Left Arrow 33"/>
              <xdr:cNvSpPr/>
            </xdr:nvSpPr>
            <xdr:spPr>
              <a:xfrm>
                <a:off x="6200775" y="3971925"/>
                <a:ext cx="409575" cy="266700"/>
              </a:xfrm>
              <a:prstGeom prst="leftArrow">
                <a:avLst/>
              </a:prstGeom>
              <a:solidFill>
                <a:schemeClr val="tx1"/>
              </a:solidFill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p3d>
                <a:bevelT w="190500" h="381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>
                  <a:solidFill>
                    <a:schemeClr val="tx1"/>
                  </a:solidFill>
                </a:endParaRPr>
              </a:p>
            </xdr:txBody>
          </xdr:sp>
        </xdr:grpSp>
      </xdr:grpSp>
      <xdr:sp macro="" textlink="">
        <xdr:nvSpPr>
          <xdr:cNvPr id="30" name="Left Arrow 29"/>
          <xdr:cNvSpPr/>
        </xdr:nvSpPr>
        <xdr:spPr>
          <a:xfrm>
            <a:off x="6896100" y="4295774"/>
            <a:ext cx="304800" cy="219075"/>
          </a:xfrm>
          <a:prstGeom prst="leftArrow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586220</xdr:colOff>
      <xdr:row>47</xdr:row>
      <xdr:rowOff>109474</xdr:rowOff>
    </xdr:from>
    <xdr:to>
      <xdr:col>12</xdr:col>
      <xdr:colOff>27708</xdr:colOff>
      <xdr:row>49</xdr:row>
      <xdr:rowOff>109599</xdr:rowOff>
    </xdr:to>
    <xdr:sp macro="[0]!one_Click_Print" textlink="">
      <xdr:nvSpPr>
        <xdr:cNvPr id="2" name="BUTNPRINT"/>
        <xdr:cNvSpPr/>
      </xdr:nvSpPr>
      <xdr:spPr>
        <a:xfrm>
          <a:off x="7674304" y="10920968"/>
          <a:ext cx="1259898" cy="371229"/>
        </a:xfrm>
        <a:prstGeom prst="roundRect">
          <a:avLst>
            <a:gd name="adj" fmla="val 456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PRINT</a:t>
          </a:r>
          <a:endParaRPr lang="en-US" sz="5400"/>
        </a:p>
      </xdr:txBody>
    </xdr:sp>
    <xdr:clientData/>
  </xdr:twoCellAnchor>
  <xdr:twoCellAnchor>
    <xdr:from>
      <xdr:col>6</xdr:col>
      <xdr:colOff>731110</xdr:colOff>
      <xdr:row>5</xdr:row>
      <xdr:rowOff>1</xdr:rowOff>
    </xdr:from>
    <xdr:to>
      <xdr:col>7</xdr:col>
      <xdr:colOff>389101</xdr:colOff>
      <xdr:row>7</xdr:row>
      <xdr:rowOff>53836</xdr:rowOff>
    </xdr:to>
    <xdr:sp macro="[0]!EnterNumberBtn" textlink="">
      <xdr:nvSpPr>
        <xdr:cNvPr id="15" name="BUTN2"/>
        <xdr:cNvSpPr/>
      </xdr:nvSpPr>
      <xdr:spPr>
        <a:xfrm>
          <a:off x="5184357" y="1818410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2</a:t>
          </a:r>
          <a:endParaRPr lang="en-US" sz="6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38</xdr:row>
          <xdr:rowOff>9525</xdr:rowOff>
        </xdr:from>
        <xdr:to>
          <xdr:col>11</xdr:col>
          <xdr:colOff>428625</xdr:colOff>
          <xdr:row>39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PrintArea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40078</xdr:colOff>
      <xdr:row>50</xdr:row>
      <xdr:rowOff>176274</xdr:rowOff>
    </xdr:from>
    <xdr:to>
      <xdr:col>12</xdr:col>
      <xdr:colOff>11503</xdr:colOff>
      <xdr:row>52</xdr:row>
      <xdr:rowOff>99950</xdr:rowOff>
    </xdr:to>
    <xdr:sp macro="[0]!Macro12" textlink="">
      <xdr:nvSpPr>
        <xdr:cNvPr id="26" name="Rounded Rectangle 25"/>
        <xdr:cNvSpPr/>
      </xdr:nvSpPr>
      <xdr:spPr>
        <a:xfrm>
          <a:off x="7734299" y="11544423"/>
          <a:ext cx="1183698" cy="29478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PRINTTT</a:t>
          </a:r>
        </a:p>
      </xdr:txBody>
    </xdr:sp>
    <xdr:clientData/>
  </xdr:twoCellAnchor>
  <xdr:twoCellAnchor>
    <xdr:from>
      <xdr:col>10</xdr:col>
      <xdr:colOff>197922</xdr:colOff>
      <xdr:row>40</xdr:row>
      <xdr:rowOff>61850</xdr:rowOff>
    </xdr:from>
    <xdr:to>
      <xdr:col>11</xdr:col>
      <xdr:colOff>210292</xdr:colOff>
      <xdr:row>43</xdr:row>
      <xdr:rowOff>68529</xdr:rowOff>
    </xdr:to>
    <xdr:sp macro="[0]!CLEARFIELD" textlink="">
      <xdr:nvSpPr>
        <xdr:cNvPr id="3" name="Oval 2"/>
        <xdr:cNvSpPr/>
      </xdr:nvSpPr>
      <xdr:spPr>
        <a:xfrm>
          <a:off x="7892143" y="9475519"/>
          <a:ext cx="618506" cy="66229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700"/>
        </a:p>
      </xdr:txBody>
    </xdr:sp>
    <xdr:clientData/>
  </xdr:twoCellAnchor>
  <xdr:twoCellAnchor>
    <xdr:from>
      <xdr:col>10</xdr:col>
      <xdr:colOff>405008</xdr:colOff>
      <xdr:row>44</xdr:row>
      <xdr:rowOff>108001</xdr:rowOff>
    </xdr:from>
    <xdr:to>
      <xdr:col>11</xdr:col>
      <xdr:colOff>19018</xdr:colOff>
      <xdr:row>45</xdr:row>
      <xdr:rowOff>159877</xdr:rowOff>
    </xdr:to>
    <xdr:sp macro="[0]!CLEARFIELD" textlink="">
      <xdr:nvSpPr>
        <xdr:cNvPr id="7" name="Rectangle 6"/>
        <xdr:cNvSpPr/>
      </xdr:nvSpPr>
      <xdr:spPr>
        <a:xfrm>
          <a:off x="8099229" y="10362839"/>
          <a:ext cx="220146" cy="23742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19</xdr:row>
          <xdr:rowOff>161925</xdr:rowOff>
        </xdr:from>
        <xdr:to>
          <xdr:col>8</xdr:col>
          <xdr:colOff>95250</xdr:colOff>
          <xdr:row>21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mbri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22</xdr:row>
          <xdr:rowOff>133350</xdr:rowOff>
        </xdr:from>
        <xdr:to>
          <xdr:col>7</xdr:col>
          <xdr:colOff>542925</xdr:colOff>
          <xdr:row>23</xdr:row>
          <xdr:rowOff>219075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mbri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54</xdr:row>
          <xdr:rowOff>57150</xdr:rowOff>
        </xdr:from>
        <xdr:to>
          <xdr:col>11</xdr:col>
          <xdr:colOff>600075</xdr:colOff>
          <xdr:row>56</xdr:row>
          <xdr:rowOff>85725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PRINT RECEIPT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95251</xdr:colOff>
      <xdr:row>4</xdr:row>
      <xdr:rowOff>754578</xdr:rowOff>
    </xdr:from>
    <xdr:to>
      <xdr:col>6</xdr:col>
      <xdr:colOff>643891</xdr:colOff>
      <xdr:row>7</xdr:row>
      <xdr:rowOff>41465</xdr:rowOff>
    </xdr:to>
    <xdr:sp macro="[0]!EnterNumberBtn" textlink="">
      <xdr:nvSpPr>
        <xdr:cNvPr id="14" name="BUTN1"/>
        <xdr:cNvSpPr/>
      </xdr:nvSpPr>
      <xdr:spPr>
        <a:xfrm>
          <a:off x="4548498" y="1806039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1</a:t>
          </a:r>
          <a:endParaRPr lang="en-US" sz="6000"/>
        </a:p>
      </xdr:txBody>
    </xdr:sp>
    <xdr:clientData/>
  </xdr:twoCellAnchor>
  <xdr:twoCellAnchor>
    <xdr:from>
      <xdr:col>6</xdr:col>
      <xdr:colOff>95251</xdr:colOff>
      <xdr:row>7</xdr:row>
      <xdr:rowOff>57747</xdr:rowOff>
    </xdr:from>
    <xdr:to>
      <xdr:col>6</xdr:col>
      <xdr:colOff>643891</xdr:colOff>
      <xdr:row>9</xdr:row>
      <xdr:rowOff>111582</xdr:rowOff>
    </xdr:to>
    <xdr:sp macro="[0]!EnterNumberBtn" textlink="">
      <xdr:nvSpPr>
        <xdr:cNvPr id="17" name="BUTN4"/>
        <xdr:cNvSpPr/>
      </xdr:nvSpPr>
      <xdr:spPr>
        <a:xfrm>
          <a:off x="4548498" y="2370961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4</a:t>
          </a:r>
          <a:endParaRPr lang="en-US" sz="6000"/>
        </a:p>
      </xdr:txBody>
    </xdr:sp>
    <xdr:clientData/>
  </xdr:twoCellAnchor>
  <xdr:twoCellAnchor>
    <xdr:from>
      <xdr:col>6</xdr:col>
      <xdr:colOff>95251</xdr:colOff>
      <xdr:row>9</xdr:row>
      <xdr:rowOff>99001</xdr:rowOff>
    </xdr:from>
    <xdr:to>
      <xdr:col>6</xdr:col>
      <xdr:colOff>643891</xdr:colOff>
      <xdr:row>11</xdr:row>
      <xdr:rowOff>152835</xdr:rowOff>
    </xdr:to>
    <xdr:sp macro="[0]!EnterNumberBtn" textlink="">
      <xdr:nvSpPr>
        <xdr:cNvPr id="20" name="BUTN7"/>
        <xdr:cNvSpPr/>
      </xdr:nvSpPr>
      <xdr:spPr>
        <a:xfrm>
          <a:off x="4548498" y="2907020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7</a:t>
          </a:r>
          <a:endParaRPr lang="en-US" sz="6000"/>
        </a:p>
      </xdr:txBody>
    </xdr:sp>
    <xdr:clientData/>
  </xdr:twoCellAnchor>
  <xdr:twoCellAnchor>
    <xdr:from>
      <xdr:col>6</xdr:col>
      <xdr:colOff>706370</xdr:colOff>
      <xdr:row>9</xdr:row>
      <xdr:rowOff>99001</xdr:rowOff>
    </xdr:from>
    <xdr:to>
      <xdr:col>7</xdr:col>
      <xdr:colOff>364361</xdr:colOff>
      <xdr:row>11</xdr:row>
      <xdr:rowOff>152835</xdr:rowOff>
    </xdr:to>
    <xdr:sp macro="[0]!EnterNumberBtn" textlink="">
      <xdr:nvSpPr>
        <xdr:cNvPr id="21" name="BUTN8"/>
        <xdr:cNvSpPr/>
      </xdr:nvSpPr>
      <xdr:spPr>
        <a:xfrm>
          <a:off x="5159617" y="2907020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8</a:t>
          </a:r>
          <a:endParaRPr lang="en-US" sz="6000"/>
        </a:p>
      </xdr:txBody>
    </xdr:sp>
    <xdr:clientData/>
  </xdr:twoCellAnchor>
  <xdr:twoCellAnchor>
    <xdr:from>
      <xdr:col>6</xdr:col>
      <xdr:colOff>95251</xdr:colOff>
      <xdr:row>11</xdr:row>
      <xdr:rowOff>156747</xdr:rowOff>
    </xdr:from>
    <xdr:to>
      <xdr:col>6</xdr:col>
      <xdr:colOff>643891</xdr:colOff>
      <xdr:row>13</xdr:row>
      <xdr:rowOff>210582</xdr:rowOff>
    </xdr:to>
    <xdr:sp macro="[0]!EnterNumberBtn" textlink="">
      <xdr:nvSpPr>
        <xdr:cNvPr id="23" name="BUTN0"/>
        <xdr:cNvSpPr/>
      </xdr:nvSpPr>
      <xdr:spPr>
        <a:xfrm>
          <a:off x="4548498" y="3459572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0</a:t>
          </a:r>
          <a:endParaRPr lang="en-US" sz="6000"/>
        </a:p>
      </xdr:txBody>
    </xdr:sp>
    <xdr:clientData/>
  </xdr:twoCellAnchor>
  <xdr:twoCellAnchor>
    <xdr:from>
      <xdr:col>6</xdr:col>
      <xdr:colOff>706370</xdr:colOff>
      <xdr:row>4</xdr:row>
      <xdr:rowOff>754579</xdr:rowOff>
    </xdr:from>
    <xdr:to>
      <xdr:col>7</xdr:col>
      <xdr:colOff>364361</xdr:colOff>
      <xdr:row>7</xdr:row>
      <xdr:rowOff>41466</xdr:rowOff>
    </xdr:to>
    <xdr:sp macro="[0]!EnterNumberBtn" textlink="">
      <xdr:nvSpPr>
        <xdr:cNvPr id="27" name="BUTN2"/>
        <xdr:cNvSpPr/>
      </xdr:nvSpPr>
      <xdr:spPr>
        <a:xfrm>
          <a:off x="5159617" y="1806040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2</a:t>
          </a:r>
          <a:endParaRPr lang="en-US" sz="6000"/>
        </a:p>
      </xdr:txBody>
    </xdr:sp>
    <xdr:clientData/>
  </xdr:twoCellAnchor>
  <xdr:twoCellAnchor>
    <xdr:from>
      <xdr:col>6</xdr:col>
      <xdr:colOff>706370</xdr:colOff>
      <xdr:row>7</xdr:row>
      <xdr:rowOff>57747</xdr:rowOff>
    </xdr:from>
    <xdr:to>
      <xdr:col>7</xdr:col>
      <xdr:colOff>364361</xdr:colOff>
      <xdr:row>9</xdr:row>
      <xdr:rowOff>111582</xdr:rowOff>
    </xdr:to>
    <xdr:sp macro="[0]!EnterNumberBtn" textlink="">
      <xdr:nvSpPr>
        <xdr:cNvPr id="28" name="BUTN5"/>
        <xdr:cNvSpPr/>
      </xdr:nvSpPr>
      <xdr:spPr>
        <a:xfrm>
          <a:off x="5159617" y="2370961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5</a:t>
          </a:r>
          <a:endParaRPr lang="en-US" sz="6000"/>
        </a:p>
      </xdr:txBody>
    </xdr:sp>
    <xdr:clientData/>
  </xdr:twoCellAnchor>
  <xdr:twoCellAnchor>
    <xdr:from>
      <xdr:col>6</xdr:col>
      <xdr:colOff>706370</xdr:colOff>
      <xdr:row>11</xdr:row>
      <xdr:rowOff>156747</xdr:rowOff>
    </xdr:from>
    <xdr:to>
      <xdr:col>7</xdr:col>
      <xdr:colOff>364361</xdr:colOff>
      <xdr:row>13</xdr:row>
      <xdr:rowOff>210582</xdr:rowOff>
    </xdr:to>
    <xdr:sp macro="[0]!EnterDecimalBtn" textlink="">
      <xdr:nvSpPr>
        <xdr:cNvPr id="29" name="BUTN."/>
        <xdr:cNvSpPr/>
      </xdr:nvSpPr>
      <xdr:spPr>
        <a:xfrm>
          <a:off x="5159617" y="3459572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.</a:t>
          </a:r>
          <a:endParaRPr lang="en-US" sz="6000"/>
        </a:p>
      </xdr:txBody>
    </xdr:sp>
    <xdr:clientData/>
  </xdr:twoCellAnchor>
  <xdr:twoCellAnchor>
    <xdr:from>
      <xdr:col>7</xdr:col>
      <xdr:colOff>417634</xdr:colOff>
      <xdr:row>4</xdr:row>
      <xdr:rowOff>754578</xdr:rowOff>
    </xdr:from>
    <xdr:to>
      <xdr:col>8</xdr:col>
      <xdr:colOff>199326</xdr:colOff>
      <xdr:row>7</xdr:row>
      <xdr:rowOff>41465</xdr:rowOff>
    </xdr:to>
    <xdr:sp macro="[0]!EnterNumberBtn" textlink="">
      <xdr:nvSpPr>
        <xdr:cNvPr id="30" name="BUTN3"/>
        <xdr:cNvSpPr/>
      </xdr:nvSpPr>
      <xdr:spPr>
        <a:xfrm>
          <a:off x="5761530" y="1806039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3</a:t>
          </a:r>
          <a:endParaRPr lang="en-US" sz="6000"/>
        </a:p>
      </xdr:txBody>
    </xdr:sp>
    <xdr:clientData/>
  </xdr:twoCellAnchor>
  <xdr:twoCellAnchor>
    <xdr:from>
      <xdr:col>7</xdr:col>
      <xdr:colOff>417634</xdr:colOff>
      <xdr:row>7</xdr:row>
      <xdr:rowOff>57747</xdr:rowOff>
    </xdr:from>
    <xdr:to>
      <xdr:col>8</xdr:col>
      <xdr:colOff>199326</xdr:colOff>
      <xdr:row>9</xdr:row>
      <xdr:rowOff>111582</xdr:rowOff>
    </xdr:to>
    <xdr:sp macro="[0]!EnterNumberBtn" textlink="">
      <xdr:nvSpPr>
        <xdr:cNvPr id="31" name="BUTN6"/>
        <xdr:cNvSpPr/>
      </xdr:nvSpPr>
      <xdr:spPr>
        <a:xfrm>
          <a:off x="5761530" y="2370961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6</a:t>
          </a:r>
          <a:endParaRPr lang="en-US" sz="6000"/>
        </a:p>
      </xdr:txBody>
    </xdr:sp>
    <xdr:clientData/>
  </xdr:twoCellAnchor>
  <xdr:twoCellAnchor>
    <xdr:from>
      <xdr:col>7</xdr:col>
      <xdr:colOff>417634</xdr:colOff>
      <xdr:row>9</xdr:row>
      <xdr:rowOff>99001</xdr:rowOff>
    </xdr:from>
    <xdr:to>
      <xdr:col>8</xdr:col>
      <xdr:colOff>199326</xdr:colOff>
      <xdr:row>11</xdr:row>
      <xdr:rowOff>152835</xdr:rowOff>
    </xdr:to>
    <xdr:sp macro="[0]!EnterNumberBtn" textlink="">
      <xdr:nvSpPr>
        <xdr:cNvPr id="32" name="BUTN9"/>
        <xdr:cNvSpPr/>
      </xdr:nvSpPr>
      <xdr:spPr>
        <a:xfrm>
          <a:off x="5761530" y="2907020"/>
          <a:ext cx="54864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9</a:t>
          </a:r>
          <a:endParaRPr lang="en-US" sz="6000"/>
        </a:p>
      </xdr:txBody>
    </xdr:sp>
    <xdr:clientData/>
  </xdr:twoCellAnchor>
  <xdr:twoCellAnchor>
    <xdr:from>
      <xdr:col>7</xdr:col>
      <xdr:colOff>417634</xdr:colOff>
      <xdr:row>11</xdr:row>
      <xdr:rowOff>156747</xdr:rowOff>
    </xdr:from>
    <xdr:to>
      <xdr:col>8</xdr:col>
      <xdr:colOff>199326</xdr:colOff>
      <xdr:row>13</xdr:row>
      <xdr:rowOff>210582</xdr:rowOff>
    </xdr:to>
    <xdr:grpSp>
      <xdr:nvGrpSpPr>
        <xdr:cNvPr id="4" name="Group 3"/>
        <xdr:cNvGrpSpPr/>
      </xdr:nvGrpSpPr>
      <xdr:grpSpPr>
        <a:xfrm>
          <a:off x="5761530" y="3459572"/>
          <a:ext cx="548640" cy="548640"/>
          <a:chOff x="5761530" y="3459572"/>
          <a:chExt cx="548640" cy="548640"/>
        </a:xfrm>
      </xdr:grpSpPr>
      <xdr:sp macro="[0]!ClearPresentCell" textlink="">
        <xdr:nvSpPr>
          <xdr:cNvPr id="25" name="BUTNCLEAR"/>
          <xdr:cNvSpPr/>
        </xdr:nvSpPr>
        <xdr:spPr>
          <a:xfrm>
            <a:off x="5761530" y="3459572"/>
            <a:ext cx="548640" cy="548640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6000">
              <a:solidFill>
                <a:schemeClr val="tx1"/>
              </a:solidFill>
            </a:endParaRPr>
          </a:p>
        </xdr:txBody>
      </xdr:sp>
      <xdr:sp macro="[0]!ClearPresentCell" textlink="">
        <xdr:nvSpPr>
          <xdr:cNvPr id="33" name="Left Arrow 32"/>
          <xdr:cNvSpPr/>
        </xdr:nvSpPr>
        <xdr:spPr>
          <a:xfrm>
            <a:off x="5869874" y="3649188"/>
            <a:ext cx="264489" cy="206085"/>
          </a:xfrm>
          <a:prstGeom prst="leftArrow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GOWYN" displayName="GOWYN" ref="B36:E52" totalsRowShown="0" tableBorderDxfId="10">
  <autoFilter ref="B36:E52"/>
  <tableColumns count="4">
    <tableColumn id="1" name="Column1" dataDxfId="9"/>
    <tableColumn id="2" name="Column2" dataDxfId="8"/>
    <tableColumn id="3" name="Column3" dataDxfId="7"/>
    <tableColumn id="4" name="Column4" dataDxfId="6">
      <calculatedColumnFormula>PRODUCT(B37,D37)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K37:M38" insertRow="1" totalsRowShown="0">
  <autoFilter ref="K37:M38"/>
  <tableColumns count="3">
    <tableColumn id="1" name="ITEM"/>
    <tableColumn id="2" name="QTY" dataDxfId="5"/>
    <tableColumn id="3" name="AMOUNT" dataDxfId="4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ERTAIN_CUSTOMERS6" displayName="CERTAIN_CUSTOMERS6" ref="V7:W31" totalsRowShown="0">
  <autoFilter ref="V7:W31"/>
  <tableColumns count="2">
    <tableColumn id="1" name="ID" dataDxfId="3"/>
    <tableColumn id="2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V39:V42" totalsRowShown="0" dataDxfId="2">
  <autoFilter ref="V39:V42"/>
  <tableColumns count="1">
    <tableColumn id="1" name="PAYMENT TYPE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CERTAIN_CUSTOMERS" displayName="CERTAIN_CUSTOMERS" ref="C3:D26" totalsRowShown="0">
  <autoFilter ref="C3:D26"/>
  <tableColumns count="2">
    <tableColumn id="1" name="ID" dataDxfId="0"/>
    <tableColumn id="2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18"/>
  <sheetViews>
    <sheetView zoomScaleNormal="60" zoomScaleSheetLayoutView="100" workbookViewId="0">
      <selection activeCell="E2" sqref="E2:E14"/>
    </sheetView>
  </sheetViews>
  <sheetFormatPr defaultRowHeight="15" x14ac:dyDescent="0.25"/>
  <cols>
    <col min="3" max="3" width="10.28515625" customWidth="1"/>
    <col min="4" max="4" width="12.5703125" customWidth="1"/>
    <col min="5" max="5" width="12.7109375" customWidth="1"/>
    <col min="7" max="7" width="13.7109375" style="1" customWidth="1"/>
  </cols>
  <sheetData>
    <row r="2" spans="1:5" x14ac:dyDescent="0.25">
      <c r="A2" t="s">
        <v>22</v>
      </c>
      <c r="B2" t="s">
        <v>14</v>
      </c>
      <c r="C2" t="s">
        <v>15</v>
      </c>
      <c r="E2" s="1" t="s">
        <v>16</v>
      </c>
    </row>
    <row r="3" spans="1:5" x14ac:dyDescent="0.25">
      <c r="A3" t="s">
        <v>0</v>
      </c>
      <c r="C3">
        <f>PRODUCT(B3,E3)</f>
        <v>1000</v>
      </c>
      <c r="E3" s="1">
        <v>1000</v>
      </c>
    </row>
    <row r="4" spans="1:5" x14ac:dyDescent="0.25">
      <c r="A4" t="s">
        <v>1</v>
      </c>
      <c r="E4" s="1">
        <v>1400</v>
      </c>
    </row>
    <row r="5" spans="1:5" x14ac:dyDescent="0.2">
      <c r="A5" t="s">
        <v>2</v>
      </c>
      <c r="E5" s="1">
        <v>1300</v>
      </c>
    </row>
    <row r="6" spans="1:5" x14ac:dyDescent="0.2">
      <c r="A6" t="s">
        <v>3</v>
      </c>
      <c r="E6" s="1">
        <v>1400</v>
      </c>
    </row>
    <row r="7" spans="1:5" x14ac:dyDescent="0.2">
      <c r="A7" t="s">
        <v>4</v>
      </c>
      <c r="E7" s="1">
        <v>800</v>
      </c>
    </row>
    <row r="8" spans="1:5" x14ac:dyDescent="0.2">
      <c r="A8" t="s">
        <v>5</v>
      </c>
      <c r="E8" s="1">
        <v>2100</v>
      </c>
    </row>
    <row r="9" spans="1:5" x14ac:dyDescent="0.2">
      <c r="A9" t="s">
        <v>6</v>
      </c>
      <c r="E9" s="1">
        <v>2200</v>
      </c>
    </row>
    <row r="10" spans="1:5" x14ac:dyDescent="0.2">
      <c r="A10" t="s">
        <v>7</v>
      </c>
      <c r="E10" s="1">
        <v>2800</v>
      </c>
    </row>
    <row r="11" spans="1:5" x14ac:dyDescent="0.2">
      <c r="A11" t="s">
        <v>8</v>
      </c>
      <c r="E11" s="1">
        <v>2000</v>
      </c>
    </row>
    <row r="12" spans="1:5" x14ac:dyDescent="0.2">
      <c r="A12" t="s">
        <v>9</v>
      </c>
      <c r="E12" s="1">
        <v>1600</v>
      </c>
    </row>
    <row r="13" spans="1:5" x14ac:dyDescent="0.2">
      <c r="A13" t="s">
        <v>10</v>
      </c>
      <c r="E13" s="1">
        <v>250</v>
      </c>
    </row>
    <row r="14" spans="1:5" x14ac:dyDescent="0.2">
      <c r="A14" t="s">
        <v>13</v>
      </c>
      <c r="E14" s="1">
        <v>2400</v>
      </c>
    </row>
    <row r="15" spans="1:5" x14ac:dyDescent="0.2">
      <c r="A15" t="s">
        <v>12</v>
      </c>
      <c r="E15" s="1"/>
    </row>
    <row r="16" spans="1:5" x14ac:dyDescent="0.25">
      <c r="A16" t="s">
        <v>11</v>
      </c>
      <c r="E16" s="1"/>
    </row>
    <row r="17" spans="3:5" x14ac:dyDescent="0.25">
      <c r="E17" s="1"/>
    </row>
    <row r="18" spans="3:5" x14ac:dyDescent="0.25">
      <c r="C18">
        <f>SUM(C3:C16)</f>
        <v>1000</v>
      </c>
      <c r="E1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58"/>
  <sheetViews>
    <sheetView topLeftCell="A33" workbookViewId="0">
      <selection activeCell="K38" sqref="K38"/>
    </sheetView>
  </sheetViews>
  <sheetFormatPr defaultRowHeight="15" x14ac:dyDescent="0.25"/>
  <cols>
    <col min="1" max="1" width="13.85546875" customWidth="1"/>
    <col min="2" max="2" width="12" customWidth="1"/>
    <col min="3" max="3" width="13.5703125" customWidth="1"/>
    <col min="4" max="4" width="11.85546875" style="1" customWidth="1"/>
    <col min="5" max="5" width="11.7109375" customWidth="1"/>
    <col min="6" max="6" width="5.7109375" customWidth="1"/>
    <col min="8" max="9" width="9.140625" customWidth="1"/>
    <col min="10" max="10" width="4.5703125" customWidth="1"/>
    <col min="11" max="11" width="16.7109375" customWidth="1"/>
    <col min="12" max="12" width="11.85546875" style="12" customWidth="1"/>
    <col min="13" max="13" width="13.5703125" style="15" customWidth="1"/>
    <col min="15" max="15" width="26.140625" customWidth="1"/>
  </cols>
  <sheetData>
    <row r="1" spans="2:15" ht="42" customHeight="1" x14ac:dyDescent="0.55000000000000004">
      <c r="B1" s="79" t="s">
        <v>17</v>
      </c>
      <c r="C1" s="79"/>
      <c r="D1" s="79"/>
      <c r="E1" s="79"/>
      <c r="F1" s="79"/>
      <c r="G1" s="79"/>
      <c r="H1" s="79"/>
      <c r="I1" s="79"/>
    </row>
    <row r="3" spans="2:15" ht="21.75" customHeight="1" x14ac:dyDescent="0.3">
      <c r="B3" s="2"/>
      <c r="C3" s="2"/>
      <c r="D3" s="3"/>
      <c r="E3" s="2"/>
      <c r="F3" s="2"/>
      <c r="G3" s="2"/>
      <c r="H3" s="2"/>
      <c r="I3" s="2"/>
      <c r="J3" s="2"/>
      <c r="K3" s="80" t="s">
        <v>17</v>
      </c>
      <c r="L3" s="80"/>
      <c r="M3" s="80"/>
      <c r="N3" s="5"/>
      <c r="O3" s="5"/>
    </row>
    <row r="4" spans="2:15" x14ac:dyDescent="0.25">
      <c r="B4" s="2"/>
      <c r="C4" s="2"/>
      <c r="D4" s="3"/>
      <c r="E4" s="2"/>
      <c r="F4" s="2"/>
      <c r="G4" s="2"/>
      <c r="H4" s="2"/>
      <c r="I4" s="2"/>
      <c r="J4" s="2"/>
      <c r="K4" s="81" t="s">
        <v>21</v>
      </c>
      <c r="L4" s="81"/>
      <c r="M4" s="81"/>
      <c r="N4" s="5"/>
      <c r="O4" s="5"/>
    </row>
    <row r="5" spans="2:15" ht="18.75" x14ac:dyDescent="0.25">
      <c r="B5" s="2"/>
      <c r="C5" s="2"/>
      <c r="D5" s="21" t="s">
        <v>14</v>
      </c>
      <c r="E5" s="10" t="s">
        <v>15</v>
      </c>
      <c r="F5" s="2"/>
      <c r="G5" s="2"/>
      <c r="H5" s="2"/>
      <c r="I5" s="2"/>
      <c r="J5" s="2"/>
      <c r="K5" s="4"/>
      <c r="L5" s="13"/>
      <c r="M5" s="16"/>
      <c r="N5" s="5"/>
      <c r="O5" s="5"/>
    </row>
    <row r="6" spans="2:15" ht="24" customHeight="1" x14ac:dyDescent="0.25">
      <c r="B6" s="19" t="s">
        <v>24</v>
      </c>
      <c r="C6" s="8"/>
      <c r="D6" s="3"/>
      <c r="E6" s="2"/>
      <c r="F6" s="2"/>
      <c r="G6" s="2"/>
      <c r="H6" s="2"/>
      <c r="I6" s="2"/>
      <c r="J6" s="2"/>
      <c r="K6" s="11" t="s">
        <v>18</v>
      </c>
      <c r="L6" s="14" t="s">
        <v>19</v>
      </c>
      <c r="M6" s="17" t="s">
        <v>20</v>
      </c>
      <c r="N6" s="5"/>
      <c r="O6" s="5"/>
    </row>
    <row r="7" spans="2:15" ht="24.95" customHeight="1" x14ac:dyDescent="0.3">
      <c r="B7" s="20">
        <v>1000</v>
      </c>
      <c r="C7" s="7" t="s">
        <v>0</v>
      </c>
      <c r="D7" s="22">
        <v>0.5</v>
      </c>
      <c r="E7" s="9">
        <f>PRODUCT(B7,D7)</f>
        <v>500</v>
      </c>
      <c r="F7" s="2"/>
      <c r="G7" s="2"/>
      <c r="H7" s="2"/>
      <c r="I7" s="2"/>
      <c r="J7" s="2"/>
      <c r="K7" s="4" t="str">
        <f>C7</f>
        <v>Herring</v>
      </c>
      <c r="L7" s="13"/>
      <c r="M7" s="16"/>
      <c r="N7" s="5"/>
      <c r="O7" s="5"/>
    </row>
    <row r="8" spans="2:15" ht="24.95" customHeight="1" x14ac:dyDescent="0.3">
      <c r="B8" s="20">
        <v>1400</v>
      </c>
      <c r="C8" s="7" t="s">
        <v>1</v>
      </c>
      <c r="D8" s="22"/>
      <c r="E8" s="9">
        <f t="shared" ref="E8:E20" si="0">PRODUCT(B8,D8)</f>
        <v>1400</v>
      </c>
      <c r="F8" s="2"/>
      <c r="G8" s="2"/>
      <c r="H8" s="2"/>
      <c r="I8" s="2"/>
      <c r="J8" s="2"/>
      <c r="K8" s="4"/>
      <c r="L8" s="13"/>
      <c r="M8" s="16"/>
      <c r="N8" s="5"/>
      <c r="O8" s="5"/>
    </row>
    <row r="9" spans="2:15" ht="24.95" customHeight="1" x14ac:dyDescent="0.3">
      <c r="B9" s="20">
        <v>1300</v>
      </c>
      <c r="C9" s="7" t="s">
        <v>2</v>
      </c>
      <c r="D9" s="22"/>
      <c r="E9" s="9">
        <f t="shared" si="0"/>
        <v>1300</v>
      </c>
      <c r="F9" s="2"/>
      <c r="G9" s="2"/>
      <c r="H9" s="2"/>
      <c r="I9" s="2"/>
      <c r="J9" s="2"/>
      <c r="K9" s="4"/>
      <c r="L9" s="13"/>
      <c r="M9" s="16"/>
      <c r="N9" s="5"/>
      <c r="O9" s="5"/>
    </row>
    <row r="10" spans="2:15" ht="24.95" customHeight="1" x14ac:dyDescent="0.3">
      <c r="B10" s="20">
        <v>1400</v>
      </c>
      <c r="C10" s="7" t="s">
        <v>3</v>
      </c>
      <c r="D10" s="22">
        <v>0.5</v>
      </c>
      <c r="E10" s="9">
        <f t="shared" si="0"/>
        <v>700</v>
      </c>
      <c r="F10" s="2"/>
      <c r="G10" s="2"/>
      <c r="H10" s="2"/>
      <c r="I10" s="2"/>
      <c r="J10" s="2"/>
      <c r="K10" s="4"/>
      <c r="L10" s="13"/>
      <c r="M10" s="16"/>
      <c r="N10" s="5"/>
      <c r="O10" s="5"/>
    </row>
    <row r="11" spans="2:15" ht="24.95" customHeight="1" x14ac:dyDescent="0.3">
      <c r="B11" s="20">
        <v>800</v>
      </c>
      <c r="C11" s="7" t="s">
        <v>4</v>
      </c>
      <c r="D11" s="22">
        <v>5</v>
      </c>
      <c r="E11" s="9">
        <f t="shared" si="0"/>
        <v>4000</v>
      </c>
      <c r="F11" s="2"/>
      <c r="G11" s="2"/>
      <c r="H11" s="2"/>
      <c r="I11" s="2"/>
      <c r="J11" s="2"/>
      <c r="K11" s="4"/>
      <c r="L11" s="13"/>
      <c r="M11" s="16"/>
      <c r="N11" s="5"/>
      <c r="O11" s="5"/>
    </row>
    <row r="12" spans="2:15" ht="24.95" customHeight="1" x14ac:dyDescent="0.3">
      <c r="B12" s="20">
        <v>2100</v>
      </c>
      <c r="C12" s="7" t="s">
        <v>5</v>
      </c>
      <c r="D12" s="22"/>
      <c r="E12" s="9">
        <f t="shared" si="0"/>
        <v>2100</v>
      </c>
      <c r="F12" s="2"/>
      <c r="G12" s="2"/>
      <c r="H12" s="2"/>
      <c r="I12" s="2"/>
      <c r="J12" s="2"/>
      <c r="K12" s="4"/>
      <c r="L12" s="13"/>
      <c r="M12" s="16"/>
      <c r="N12" s="5"/>
      <c r="O12" s="5"/>
    </row>
    <row r="13" spans="2:15" ht="24.95" customHeight="1" x14ac:dyDescent="0.3">
      <c r="B13" s="20">
        <v>2200</v>
      </c>
      <c r="C13" s="7" t="s">
        <v>6</v>
      </c>
      <c r="D13" s="22"/>
      <c r="E13" s="9">
        <f t="shared" si="0"/>
        <v>2200</v>
      </c>
      <c r="F13" s="2"/>
      <c r="G13" s="2"/>
      <c r="H13" s="2"/>
      <c r="I13" s="2"/>
      <c r="J13" s="2"/>
      <c r="K13" s="4"/>
      <c r="L13" s="13"/>
      <c r="M13" s="16"/>
      <c r="N13" s="5"/>
      <c r="O13" s="5"/>
    </row>
    <row r="14" spans="2:15" ht="24.95" customHeight="1" x14ac:dyDescent="0.3">
      <c r="B14" s="20">
        <v>2800</v>
      </c>
      <c r="C14" s="7" t="s">
        <v>7</v>
      </c>
      <c r="D14" s="22"/>
      <c r="E14" s="9">
        <f t="shared" si="0"/>
        <v>2800</v>
      </c>
      <c r="F14" s="2"/>
      <c r="G14" s="2"/>
      <c r="H14" s="2"/>
      <c r="I14" s="2"/>
      <c r="J14" s="2"/>
      <c r="K14" s="4"/>
      <c r="L14" s="13"/>
      <c r="M14" s="16"/>
      <c r="N14" s="5"/>
      <c r="O14" s="5"/>
    </row>
    <row r="15" spans="2:15" ht="24.95" customHeight="1" x14ac:dyDescent="0.3">
      <c r="B15" s="20">
        <v>2000</v>
      </c>
      <c r="C15" s="7" t="s">
        <v>8</v>
      </c>
      <c r="D15" s="22"/>
      <c r="E15" s="9">
        <f t="shared" si="0"/>
        <v>2000</v>
      </c>
      <c r="F15" s="2"/>
      <c r="G15" s="2"/>
      <c r="H15" s="2"/>
      <c r="I15" s="2"/>
      <c r="J15" s="2"/>
      <c r="K15" s="4"/>
      <c r="L15" s="13"/>
      <c r="M15" s="16"/>
      <c r="N15" s="5"/>
      <c r="O15" s="5"/>
    </row>
    <row r="16" spans="2:15" ht="24.95" customHeight="1" x14ac:dyDescent="0.3">
      <c r="B16" s="20">
        <v>1600</v>
      </c>
      <c r="C16" s="7" t="s">
        <v>9</v>
      </c>
      <c r="D16" s="22"/>
      <c r="E16" s="9">
        <f t="shared" si="0"/>
        <v>1600</v>
      </c>
      <c r="F16" s="2"/>
      <c r="G16" s="2"/>
      <c r="H16" s="2"/>
      <c r="I16" s="2"/>
      <c r="J16" s="2"/>
      <c r="K16" s="4"/>
      <c r="L16" s="13"/>
      <c r="M16" s="16"/>
      <c r="N16" s="5"/>
      <c r="O16" s="5"/>
    </row>
    <row r="17" spans="2:15" ht="24.95" customHeight="1" x14ac:dyDescent="0.3">
      <c r="B17" s="20">
        <v>250</v>
      </c>
      <c r="C17" s="7" t="s">
        <v>10</v>
      </c>
      <c r="D17" s="22"/>
      <c r="E17" s="9">
        <f t="shared" si="0"/>
        <v>250</v>
      </c>
      <c r="F17" s="2"/>
      <c r="G17" s="2"/>
      <c r="H17" s="2"/>
      <c r="I17" s="2"/>
      <c r="J17" s="2"/>
      <c r="K17" s="4"/>
      <c r="L17" s="13"/>
      <c r="M17" s="16"/>
      <c r="N17" s="4"/>
      <c r="O17" s="5"/>
    </row>
    <row r="18" spans="2:15" ht="24.95" customHeight="1" x14ac:dyDescent="0.3">
      <c r="B18" s="20">
        <v>2400</v>
      </c>
      <c r="C18" s="7" t="s">
        <v>13</v>
      </c>
      <c r="D18" s="22"/>
      <c r="E18" s="9">
        <f t="shared" si="0"/>
        <v>2400</v>
      </c>
      <c r="F18" s="2"/>
      <c r="G18" s="2"/>
      <c r="H18" s="2"/>
      <c r="I18" s="2"/>
      <c r="J18" s="2"/>
      <c r="K18" s="4"/>
      <c r="L18" s="13"/>
      <c r="M18" s="16"/>
      <c r="N18" s="4"/>
      <c r="O18" s="5"/>
    </row>
    <row r="19" spans="2:15" ht="24.95" customHeight="1" x14ac:dyDescent="0.3">
      <c r="B19" s="20">
        <v>250</v>
      </c>
      <c r="C19" s="6" t="s">
        <v>12</v>
      </c>
      <c r="D19" s="22"/>
      <c r="E19" s="9">
        <f t="shared" si="0"/>
        <v>250</v>
      </c>
      <c r="F19" s="2"/>
      <c r="G19" s="2"/>
      <c r="H19" s="2"/>
      <c r="I19" s="2"/>
      <c r="J19" s="2"/>
      <c r="K19" s="4"/>
      <c r="L19" s="13"/>
      <c r="M19" s="16"/>
      <c r="N19" s="4"/>
      <c r="O19" s="5"/>
    </row>
    <row r="20" spans="2:15" ht="24.95" customHeight="1" x14ac:dyDescent="0.3">
      <c r="B20" s="20">
        <v>200</v>
      </c>
      <c r="C20" s="7" t="s">
        <v>11</v>
      </c>
      <c r="D20" s="22"/>
      <c r="E20" s="9">
        <f t="shared" si="0"/>
        <v>200</v>
      </c>
      <c r="F20" s="2"/>
      <c r="G20" s="2"/>
      <c r="H20" s="2"/>
      <c r="I20" s="2"/>
      <c r="J20" s="2"/>
      <c r="K20" s="4"/>
      <c r="L20" s="13"/>
      <c r="M20" s="16"/>
      <c r="N20" s="4"/>
      <c r="O20" s="5"/>
    </row>
    <row r="21" spans="2:15" x14ac:dyDescent="0.25">
      <c r="B21" s="2"/>
      <c r="C21" s="2"/>
      <c r="D21" s="3"/>
      <c r="E21" s="2"/>
      <c r="F21" s="2"/>
      <c r="G21" s="2"/>
      <c r="H21" s="2"/>
      <c r="I21" s="2"/>
      <c r="J21" s="2"/>
      <c r="K21" s="4"/>
      <c r="L21" s="13"/>
      <c r="M21" s="16"/>
      <c r="N21" s="4"/>
      <c r="O21" s="5"/>
    </row>
    <row r="22" spans="2:15" x14ac:dyDescent="0.25">
      <c r="B22" s="2"/>
      <c r="C22" s="2"/>
      <c r="D22" s="3"/>
      <c r="E22" s="2"/>
      <c r="F22" s="2"/>
      <c r="G22" s="2"/>
      <c r="H22" s="2"/>
      <c r="I22" s="2"/>
      <c r="J22" s="2"/>
      <c r="K22" s="4"/>
      <c r="L22" s="13"/>
      <c r="M22" s="16"/>
      <c r="N22" s="4"/>
      <c r="O22" s="5"/>
    </row>
    <row r="23" spans="2:15" x14ac:dyDescent="0.25">
      <c r="B23" s="2"/>
      <c r="C23" s="2"/>
      <c r="D23" s="3"/>
      <c r="E23" s="2"/>
      <c r="F23" s="2"/>
      <c r="G23" s="2"/>
      <c r="H23" s="2"/>
      <c r="I23" s="2"/>
      <c r="J23" s="2"/>
      <c r="K23" s="4"/>
      <c r="L23" s="13"/>
      <c r="M23" s="16"/>
      <c r="N23" s="4"/>
      <c r="O23" s="5"/>
    </row>
    <row r="24" spans="2:15" ht="20.100000000000001" customHeight="1" x14ac:dyDescent="0.25">
      <c r="B24" s="2"/>
      <c r="C24" s="2"/>
      <c r="D24" s="18" t="s">
        <v>23</v>
      </c>
      <c r="E24" s="18">
        <f>SUMIF(D7:D20,"&lt;&gt;",E7:E20)</f>
        <v>5200</v>
      </c>
      <c r="F24" s="2"/>
      <c r="G24" s="2"/>
      <c r="H24" s="2"/>
      <c r="I24" s="2"/>
      <c r="J24" s="2"/>
      <c r="K24" s="4"/>
      <c r="L24" s="13"/>
      <c r="M24" s="16"/>
      <c r="N24" s="4"/>
      <c r="O24" s="5"/>
    </row>
    <row r="25" spans="2:15" ht="20.100000000000001" customHeight="1" x14ac:dyDescent="0.25">
      <c r="B25" s="2"/>
      <c r="C25" s="2"/>
      <c r="D25" s="18" t="s">
        <v>25</v>
      </c>
      <c r="E25" s="2">
        <v>6000</v>
      </c>
      <c r="F25" s="2"/>
      <c r="G25" s="2"/>
      <c r="H25" s="2"/>
      <c r="I25" s="2"/>
      <c r="J25" s="2"/>
      <c r="K25" s="4"/>
      <c r="L25" s="13"/>
      <c r="M25" s="16"/>
      <c r="N25" s="4"/>
      <c r="O25" s="5"/>
    </row>
    <row r="26" spans="2:15" ht="20.100000000000001" customHeight="1" x14ac:dyDescent="0.25">
      <c r="B26" s="2"/>
      <c r="C26" s="2"/>
      <c r="D26" s="18" t="s">
        <v>26</v>
      </c>
      <c r="E26" s="2">
        <f>E25-E24</f>
        <v>800</v>
      </c>
      <c r="F26" s="2"/>
      <c r="G26" s="2"/>
      <c r="H26" s="2"/>
      <c r="I26" s="2"/>
      <c r="J26" s="2"/>
      <c r="K26" s="4"/>
      <c r="L26" s="13"/>
      <c r="M26" s="16"/>
      <c r="N26" s="4"/>
      <c r="O26" s="5"/>
    </row>
    <row r="27" spans="2:15" x14ac:dyDescent="0.25">
      <c r="B27" s="2"/>
      <c r="C27" s="2"/>
      <c r="D27" s="3"/>
      <c r="E27" s="2"/>
      <c r="F27" s="2"/>
      <c r="G27" s="2"/>
      <c r="H27" s="2"/>
      <c r="I27" s="2"/>
      <c r="J27" s="2"/>
      <c r="K27" s="4"/>
      <c r="L27" s="13"/>
      <c r="M27" s="16"/>
      <c r="N27" s="4"/>
      <c r="O27" s="5"/>
    </row>
    <row r="34" spans="2:19" ht="26.25" x14ac:dyDescent="0.55000000000000004">
      <c r="B34" s="79" t="s">
        <v>17</v>
      </c>
      <c r="C34" s="79"/>
      <c r="D34" s="79"/>
      <c r="E34" s="79"/>
      <c r="F34" s="28"/>
      <c r="G34" s="28"/>
      <c r="H34" s="28"/>
      <c r="I34" s="2"/>
    </row>
    <row r="35" spans="2:19" ht="26.25" x14ac:dyDescent="0.55000000000000004">
      <c r="B35" s="2"/>
      <c r="C35" s="2"/>
      <c r="D35" s="3"/>
      <c r="E35" s="2"/>
      <c r="F35" s="2"/>
      <c r="G35" s="2"/>
      <c r="H35" s="2"/>
      <c r="I35" s="2"/>
      <c r="L35" s="79" t="s">
        <v>17</v>
      </c>
      <c r="M35" s="79"/>
      <c r="N35" s="79"/>
      <c r="O35" s="79"/>
      <c r="P35" s="79"/>
      <c r="Q35" s="79"/>
      <c r="R35" s="23"/>
      <c r="S35" s="23"/>
    </row>
    <row r="36" spans="2:19" ht="15.75" x14ac:dyDescent="0.25">
      <c r="B36" s="2" t="s">
        <v>27</v>
      </c>
      <c r="C36" s="2" t="s">
        <v>28</v>
      </c>
      <c r="D36" s="30" t="s">
        <v>29</v>
      </c>
      <c r="E36" s="29" t="s">
        <v>30</v>
      </c>
      <c r="F36" s="2"/>
      <c r="G36" s="2"/>
      <c r="H36" s="2"/>
      <c r="I36" s="2"/>
    </row>
    <row r="37" spans="2:19" ht="15.75" x14ac:dyDescent="0.25">
      <c r="B37" s="2"/>
      <c r="C37" s="2"/>
      <c r="D37" s="30" t="s">
        <v>14</v>
      </c>
      <c r="E37" s="29" t="s">
        <v>15</v>
      </c>
      <c r="F37" s="2"/>
      <c r="G37" s="2"/>
      <c r="H37" s="2"/>
      <c r="I37" s="2"/>
      <c r="K37" t="s">
        <v>18</v>
      </c>
      <c r="L37" s="12" t="s">
        <v>31</v>
      </c>
      <c r="M37" s="15" t="s">
        <v>20</v>
      </c>
    </row>
    <row r="38" spans="2:19" ht="24.95" customHeight="1" x14ac:dyDescent="0.25">
      <c r="B38" s="31" t="s">
        <v>24</v>
      </c>
      <c r="C38" s="8"/>
      <c r="D38" s="3"/>
      <c r="E38" s="2"/>
      <c r="F38" s="2"/>
      <c r="G38" s="2"/>
      <c r="H38" s="2"/>
      <c r="I38" s="2"/>
    </row>
    <row r="39" spans="2:19" ht="24.95" customHeight="1" x14ac:dyDescent="0.35">
      <c r="B39" s="20">
        <v>1000</v>
      </c>
      <c r="C39" s="7" t="s">
        <v>0</v>
      </c>
      <c r="D39" s="26">
        <v>0.5</v>
      </c>
      <c r="E39" s="27">
        <f>PRODUCT(B39,D39)</f>
        <v>500</v>
      </c>
      <c r="F39" s="2"/>
      <c r="G39" s="2"/>
      <c r="H39" s="2"/>
      <c r="I39" s="2"/>
    </row>
    <row r="40" spans="2:19" ht="24.95" customHeight="1" x14ac:dyDescent="0.35">
      <c r="B40" s="20">
        <v>1400</v>
      </c>
      <c r="C40" s="7" t="s">
        <v>1</v>
      </c>
      <c r="D40" s="26"/>
      <c r="E40" s="27">
        <f t="shared" ref="E40:E52" si="1">PRODUCT(B40,D40)</f>
        <v>1400</v>
      </c>
      <c r="F40" s="2"/>
      <c r="G40" s="2"/>
      <c r="H40" s="2"/>
      <c r="I40" s="2"/>
    </row>
    <row r="41" spans="2:19" ht="24.95" customHeight="1" x14ac:dyDescent="0.35">
      <c r="B41" s="20">
        <v>1300</v>
      </c>
      <c r="C41" s="7" t="s">
        <v>2</v>
      </c>
      <c r="D41" s="26"/>
      <c r="E41" s="27">
        <f t="shared" si="1"/>
        <v>1300</v>
      </c>
      <c r="F41" s="2"/>
      <c r="G41" s="2"/>
      <c r="H41" s="2"/>
      <c r="I41" s="2"/>
    </row>
    <row r="42" spans="2:19" ht="24.95" customHeight="1" x14ac:dyDescent="0.35">
      <c r="B42" s="20">
        <v>1400</v>
      </c>
      <c r="C42" s="7" t="s">
        <v>3</v>
      </c>
      <c r="D42" s="26">
        <v>0.5</v>
      </c>
      <c r="E42" s="27">
        <f t="shared" si="1"/>
        <v>700</v>
      </c>
      <c r="F42" s="2"/>
      <c r="G42" s="2"/>
      <c r="H42" s="2"/>
      <c r="I42" s="2"/>
    </row>
    <row r="43" spans="2:19" ht="24.95" customHeight="1" x14ac:dyDescent="0.35">
      <c r="B43" s="20">
        <v>800</v>
      </c>
      <c r="C43" s="7" t="s">
        <v>4</v>
      </c>
      <c r="D43" s="26">
        <v>5</v>
      </c>
      <c r="E43" s="27">
        <f t="shared" si="1"/>
        <v>4000</v>
      </c>
      <c r="F43" s="2"/>
      <c r="G43" s="2"/>
      <c r="H43" s="2"/>
      <c r="I43" s="2"/>
    </row>
    <row r="44" spans="2:19" ht="24.95" customHeight="1" x14ac:dyDescent="0.35">
      <c r="B44" s="20">
        <v>2100</v>
      </c>
      <c r="C44" s="7" t="s">
        <v>5</v>
      </c>
      <c r="D44" s="26"/>
      <c r="E44" s="27">
        <f t="shared" si="1"/>
        <v>2100</v>
      </c>
      <c r="F44" s="2"/>
      <c r="G44" s="2"/>
      <c r="H44" s="2"/>
      <c r="I44" s="2"/>
    </row>
    <row r="45" spans="2:19" ht="24.95" customHeight="1" x14ac:dyDescent="0.35">
      <c r="B45" s="20">
        <v>2200</v>
      </c>
      <c r="C45" s="7" t="s">
        <v>6</v>
      </c>
      <c r="D45" s="26"/>
      <c r="E45" s="27">
        <f t="shared" si="1"/>
        <v>2200</v>
      </c>
      <c r="F45" s="2"/>
      <c r="G45" s="2"/>
      <c r="H45" s="2"/>
      <c r="I45" s="2"/>
    </row>
    <row r="46" spans="2:19" ht="24.95" customHeight="1" x14ac:dyDescent="0.35">
      <c r="B46" s="20">
        <v>2800</v>
      </c>
      <c r="C46" s="7" t="s">
        <v>7</v>
      </c>
      <c r="D46" s="26"/>
      <c r="E46" s="27">
        <f t="shared" si="1"/>
        <v>2800</v>
      </c>
      <c r="F46" s="2"/>
      <c r="G46" s="2"/>
      <c r="H46" s="2"/>
      <c r="I46" s="2"/>
    </row>
    <row r="47" spans="2:19" ht="24.95" customHeight="1" x14ac:dyDescent="0.35">
      <c r="B47" s="20">
        <v>2000</v>
      </c>
      <c r="C47" s="7" t="s">
        <v>8</v>
      </c>
      <c r="D47" s="26"/>
      <c r="E47" s="27">
        <f t="shared" si="1"/>
        <v>2000</v>
      </c>
      <c r="F47" s="2"/>
      <c r="G47" s="2"/>
      <c r="H47" s="2"/>
      <c r="I47" s="2"/>
    </row>
    <row r="48" spans="2:19" ht="24.95" customHeight="1" x14ac:dyDescent="0.35">
      <c r="B48" s="20">
        <v>1600</v>
      </c>
      <c r="C48" s="7" t="s">
        <v>9</v>
      </c>
      <c r="D48" s="26"/>
      <c r="E48" s="27">
        <f t="shared" si="1"/>
        <v>1600</v>
      </c>
      <c r="F48" s="2"/>
      <c r="G48" s="2"/>
      <c r="H48" s="2"/>
      <c r="I48" s="2"/>
    </row>
    <row r="49" spans="2:9" ht="24.95" customHeight="1" x14ac:dyDescent="0.35">
      <c r="B49" s="20">
        <v>250</v>
      </c>
      <c r="C49" s="7" t="s">
        <v>10</v>
      </c>
      <c r="D49" s="26"/>
      <c r="E49" s="27">
        <f t="shared" si="1"/>
        <v>250</v>
      </c>
      <c r="F49" s="2"/>
      <c r="G49" s="2"/>
      <c r="H49" s="2"/>
      <c r="I49" s="2"/>
    </row>
    <row r="50" spans="2:9" ht="24.95" customHeight="1" x14ac:dyDescent="0.35">
      <c r="B50" s="20">
        <v>2400</v>
      </c>
      <c r="C50" s="7" t="s">
        <v>13</v>
      </c>
      <c r="D50" s="26"/>
      <c r="E50" s="27">
        <f t="shared" si="1"/>
        <v>2400</v>
      </c>
      <c r="F50" s="2"/>
      <c r="G50" s="2"/>
      <c r="H50" s="2"/>
      <c r="I50" s="2"/>
    </row>
    <row r="51" spans="2:9" ht="24.95" customHeight="1" x14ac:dyDescent="0.35">
      <c r="B51" s="20">
        <v>250</v>
      </c>
      <c r="C51" s="6" t="s">
        <v>12</v>
      </c>
      <c r="D51" s="26"/>
      <c r="E51" s="27">
        <f t="shared" si="1"/>
        <v>250</v>
      </c>
      <c r="F51" s="2"/>
      <c r="G51" s="2"/>
      <c r="H51" s="2"/>
      <c r="I51" s="2"/>
    </row>
    <row r="52" spans="2:9" ht="21" x14ac:dyDescent="0.35">
      <c r="B52" s="33">
        <v>200</v>
      </c>
      <c r="C52" s="34" t="s">
        <v>11</v>
      </c>
      <c r="D52" s="35"/>
      <c r="E52" s="36">
        <f t="shared" si="1"/>
        <v>200</v>
      </c>
      <c r="F52" s="2"/>
      <c r="G52" s="2"/>
      <c r="H52" s="2"/>
      <c r="I52" s="2"/>
    </row>
    <row r="53" spans="2:9" x14ac:dyDescent="0.25">
      <c r="B53" s="2"/>
      <c r="C53" s="2"/>
      <c r="D53" s="3"/>
      <c r="E53" s="2"/>
      <c r="F53" s="2"/>
      <c r="G53" s="2"/>
      <c r="H53" s="2"/>
      <c r="I53" s="2"/>
    </row>
    <row r="54" spans="2:9" x14ac:dyDescent="0.25">
      <c r="B54" s="2"/>
      <c r="C54" s="2"/>
      <c r="D54" s="3"/>
      <c r="E54" s="2"/>
      <c r="F54" s="2"/>
      <c r="G54" s="2"/>
      <c r="H54" s="2"/>
      <c r="I54" s="2"/>
    </row>
    <row r="55" spans="2:9" ht="18.75" x14ac:dyDescent="0.3">
      <c r="B55" s="2"/>
      <c r="C55" s="2"/>
      <c r="D55" s="24" t="s">
        <v>23</v>
      </c>
      <c r="E55" s="24">
        <f>SUMIF(D39:D52,"&lt;&gt;",E39:E52)</f>
        <v>5200</v>
      </c>
      <c r="F55" s="2"/>
      <c r="G55" s="2"/>
      <c r="H55" s="2"/>
      <c r="I55" s="2"/>
    </row>
    <row r="56" spans="2:9" ht="18.75" x14ac:dyDescent="0.3">
      <c r="B56" s="2"/>
      <c r="C56" s="2"/>
      <c r="D56" s="24" t="s">
        <v>25</v>
      </c>
      <c r="E56" s="25">
        <v>6000</v>
      </c>
      <c r="F56" s="2"/>
      <c r="G56" s="2"/>
      <c r="H56" s="2"/>
      <c r="I56" s="2"/>
    </row>
    <row r="57" spans="2:9" ht="18.75" x14ac:dyDescent="0.3">
      <c r="B57" s="2"/>
      <c r="C57" s="2"/>
      <c r="D57" s="24" t="s">
        <v>26</v>
      </c>
      <c r="E57" s="25">
        <f>E56-E55</f>
        <v>800</v>
      </c>
      <c r="F57" s="2"/>
      <c r="G57" s="2"/>
      <c r="H57" s="2"/>
      <c r="I57" s="2"/>
    </row>
    <row r="58" spans="2:9" x14ac:dyDescent="0.25">
      <c r="B58" s="2"/>
      <c r="C58" s="2"/>
      <c r="D58" s="3"/>
      <c r="E58" s="2"/>
      <c r="F58" s="2"/>
      <c r="G58" s="2"/>
      <c r="H58" s="2"/>
      <c r="I58" s="2"/>
    </row>
  </sheetData>
  <mergeCells count="5">
    <mergeCell ref="L35:Q35"/>
    <mergeCell ref="B34:E34"/>
    <mergeCell ref="B1:I1"/>
    <mergeCell ref="K3:M3"/>
    <mergeCell ref="K4:M4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W42"/>
  <sheetViews>
    <sheetView tabSelected="1" topLeftCell="B1" zoomScale="77" zoomScaleNormal="77" workbookViewId="0">
      <selection activeCell="L17" sqref="L17"/>
    </sheetView>
  </sheetViews>
  <sheetFormatPr defaultRowHeight="15" x14ac:dyDescent="0.25"/>
  <cols>
    <col min="1" max="1" width="13.28515625" customWidth="1"/>
    <col min="2" max="2" width="8.7109375" customWidth="1"/>
    <col min="3" max="3" width="12.5703125" bestFit="1" customWidth="1"/>
    <col min="4" max="4" width="12.140625" customWidth="1"/>
    <col min="6" max="6" width="11" customWidth="1"/>
    <col min="7" max="7" width="13.42578125" customWidth="1"/>
    <col min="8" max="8" width="11.42578125" customWidth="1"/>
    <col min="9" max="9" width="14.5703125" customWidth="1"/>
    <col min="15" max="15" width="14.42578125" customWidth="1"/>
    <col min="16" max="16" width="11.5703125" customWidth="1"/>
    <col min="17" max="17" width="10.85546875" customWidth="1"/>
    <col min="18" max="18" width="13.7109375" customWidth="1"/>
    <col min="20" max="20" width="47.42578125" customWidth="1"/>
    <col min="22" max="22" width="16.140625" customWidth="1"/>
    <col min="23" max="23" width="12.85546875" customWidth="1"/>
  </cols>
  <sheetData>
    <row r="2" spans="1:23" ht="26.25" x14ac:dyDescent="0.55000000000000004">
      <c r="A2" t="s">
        <v>49</v>
      </c>
      <c r="B2" s="82" t="s">
        <v>17</v>
      </c>
      <c r="C2" s="83"/>
      <c r="D2" s="83"/>
      <c r="E2" s="83"/>
      <c r="F2" s="84"/>
      <c r="G2" s="41"/>
      <c r="H2" s="41"/>
      <c r="I2" s="42"/>
    </row>
    <row r="3" spans="1:23" ht="15.75" x14ac:dyDescent="0.25">
      <c r="B3" s="53">
        <v>1</v>
      </c>
      <c r="C3" s="43"/>
      <c r="D3" s="44"/>
      <c r="E3" s="43"/>
      <c r="F3" s="42"/>
      <c r="G3" s="43"/>
      <c r="H3" s="43"/>
      <c r="I3" s="42"/>
    </row>
    <row r="4" spans="1:23" ht="26.25" x14ac:dyDescent="0.55000000000000004">
      <c r="B4" s="54"/>
      <c r="C4" s="43"/>
      <c r="D4" s="43"/>
      <c r="E4" s="43"/>
      <c r="F4" s="42"/>
      <c r="G4" s="76" t="s">
        <v>52</v>
      </c>
      <c r="H4" s="88" t="s">
        <v>35</v>
      </c>
      <c r="I4" s="42"/>
      <c r="O4" s="82" t="s">
        <v>17</v>
      </c>
      <c r="P4" s="83"/>
      <c r="Q4" s="83"/>
      <c r="R4" s="84"/>
    </row>
    <row r="5" spans="1:23" ht="60" x14ac:dyDescent="0.3">
      <c r="B5" s="55" t="s">
        <v>24</v>
      </c>
      <c r="C5" s="8"/>
      <c r="D5" s="45" t="s">
        <v>38</v>
      </c>
      <c r="E5" s="45" t="s">
        <v>39</v>
      </c>
      <c r="F5" s="56" t="s">
        <v>40</v>
      </c>
      <c r="G5" s="43"/>
      <c r="H5" s="43"/>
      <c r="I5" s="42"/>
      <c r="K5" t="s">
        <v>49</v>
      </c>
      <c r="O5" s="62">
        <f>B3</f>
        <v>1</v>
      </c>
      <c r="P5" s="50" t="s">
        <v>41</v>
      </c>
      <c r="Q5" s="50" t="s">
        <v>42</v>
      </c>
      <c r="R5" s="63" t="s">
        <v>43</v>
      </c>
    </row>
    <row r="6" spans="1:23" ht="20.100000000000001" customHeight="1" x14ac:dyDescent="0.35">
      <c r="B6" s="57">
        <v>1000</v>
      </c>
      <c r="C6" s="39" t="s">
        <v>0</v>
      </c>
      <c r="D6" s="48"/>
      <c r="E6" s="49">
        <f>B6*D6</f>
        <v>0</v>
      </c>
      <c r="F6" s="58"/>
      <c r="G6" s="43"/>
      <c r="H6" s="43"/>
      <c r="I6" s="42"/>
      <c r="O6" s="64" t="s">
        <v>0</v>
      </c>
      <c r="P6" s="74">
        <f>D6</f>
        <v>0</v>
      </c>
      <c r="Q6" s="74">
        <f>E6</f>
        <v>0</v>
      </c>
      <c r="R6" s="72">
        <f>F6</f>
        <v>0</v>
      </c>
    </row>
    <row r="7" spans="1:23" ht="20.100000000000001" customHeight="1" x14ac:dyDescent="0.35">
      <c r="B7" s="57">
        <v>1400</v>
      </c>
      <c r="C7" s="39" t="s">
        <v>1</v>
      </c>
      <c r="D7" s="48"/>
      <c r="E7" s="49">
        <f t="shared" ref="E7:E19" si="0">B7*D7</f>
        <v>0</v>
      </c>
      <c r="F7" s="58"/>
      <c r="G7" s="43"/>
      <c r="H7" s="43"/>
      <c r="I7" s="42"/>
      <c r="O7" s="64" t="s">
        <v>1</v>
      </c>
      <c r="P7" s="74">
        <f t="shared" ref="P7:P19" si="1">D7</f>
        <v>0</v>
      </c>
      <c r="Q7" s="74">
        <f t="shared" ref="Q7:Q20" si="2">E7</f>
        <v>0</v>
      </c>
      <c r="R7" s="72">
        <f t="shared" ref="R7:R20" si="3">F7</f>
        <v>0</v>
      </c>
      <c r="V7" s="38" t="s">
        <v>33</v>
      </c>
      <c r="W7" t="s">
        <v>32</v>
      </c>
    </row>
    <row r="8" spans="1:23" ht="20.100000000000001" customHeight="1" x14ac:dyDescent="0.35">
      <c r="B8" s="57">
        <v>1300</v>
      </c>
      <c r="C8" s="39" t="s">
        <v>2</v>
      </c>
      <c r="D8" s="48"/>
      <c r="E8" s="49">
        <f t="shared" si="0"/>
        <v>0</v>
      </c>
      <c r="F8" s="58"/>
      <c r="G8" s="43"/>
      <c r="H8" s="43"/>
      <c r="I8" s="42"/>
      <c r="L8" t="s">
        <v>49</v>
      </c>
      <c r="O8" s="64" t="s">
        <v>2</v>
      </c>
      <c r="P8" s="74">
        <f t="shared" si="1"/>
        <v>0</v>
      </c>
      <c r="Q8" s="74">
        <f t="shared" si="2"/>
        <v>0</v>
      </c>
      <c r="R8" s="72">
        <f t="shared" si="3"/>
        <v>0</v>
      </c>
      <c r="V8" s="37">
        <v>0</v>
      </c>
      <c r="W8" t="s">
        <v>37</v>
      </c>
    </row>
    <row r="9" spans="1:23" ht="20.100000000000001" customHeight="1" x14ac:dyDescent="0.35">
      <c r="B9" s="57">
        <v>1400</v>
      </c>
      <c r="C9" s="39" t="s">
        <v>3</v>
      </c>
      <c r="D9" s="48"/>
      <c r="E9" s="49">
        <f t="shared" si="0"/>
        <v>0</v>
      </c>
      <c r="F9" s="58"/>
      <c r="G9" s="43"/>
      <c r="H9" s="43"/>
      <c r="I9" s="42"/>
      <c r="K9" t="s">
        <v>49</v>
      </c>
      <c r="O9" s="64" t="s">
        <v>3</v>
      </c>
      <c r="P9" s="74">
        <f t="shared" si="1"/>
        <v>0</v>
      </c>
      <c r="Q9" s="74">
        <f t="shared" si="2"/>
        <v>0</v>
      </c>
      <c r="R9" s="72">
        <f t="shared" si="3"/>
        <v>0</v>
      </c>
      <c r="V9" s="37">
        <v>1</v>
      </c>
      <c r="W9" t="s">
        <v>34</v>
      </c>
    </row>
    <row r="10" spans="1:23" ht="20.100000000000001" customHeight="1" x14ac:dyDescent="0.35">
      <c r="B10" s="57">
        <v>800</v>
      </c>
      <c r="C10" s="39" t="s">
        <v>4</v>
      </c>
      <c r="D10" s="78"/>
      <c r="E10" s="49">
        <f t="shared" si="0"/>
        <v>0</v>
      </c>
      <c r="F10" s="58"/>
      <c r="G10" s="43"/>
      <c r="H10" s="43"/>
      <c r="I10" s="42"/>
      <c r="O10" s="64" t="s">
        <v>4</v>
      </c>
      <c r="P10" s="74">
        <f t="shared" si="1"/>
        <v>0</v>
      </c>
      <c r="Q10" s="74">
        <f t="shared" si="2"/>
        <v>0</v>
      </c>
      <c r="R10" s="72">
        <f t="shared" si="3"/>
        <v>0</v>
      </c>
      <c r="V10" s="37">
        <v>2</v>
      </c>
      <c r="W10" t="s">
        <v>35</v>
      </c>
    </row>
    <row r="11" spans="1:23" ht="20.100000000000001" customHeight="1" x14ac:dyDescent="0.35">
      <c r="B11" s="57">
        <v>2100</v>
      </c>
      <c r="C11" s="39" t="s">
        <v>5</v>
      </c>
      <c r="D11" s="48"/>
      <c r="E11" s="49">
        <f t="shared" si="0"/>
        <v>0</v>
      </c>
      <c r="F11" s="58"/>
      <c r="G11" s="43"/>
      <c r="H11" s="43"/>
      <c r="I11" s="42"/>
      <c r="O11" s="64" t="s">
        <v>5</v>
      </c>
      <c r="P11" s="74">
        <f t="shared" si="1"/>
        <v>0</v>
      </c>
      <c r="Q11" s="74">
        <f t="shared" si="2"/>
        <v>0</v>
      </c>
      <c r="R11" s="72">
        <f t="shared" si="3"/>
        <v>0</v>
      </c>
      <c r="V11" s="37">
        <v>3</v>
      </c>
      <c r="W11" t="s">
        <v>36</v>
      </c>
    </row>
    <row r="12" spans="1:23" ht="20.100000000000001" customHeight="1" x14ac:dyDescent="0.35">
      <c r="B12" s="57">
        <v>2200</v>
      </c>
      <c r="C12" s="39" t="s">
        <v>6</v>
      </c>
      <c r="D12" s="78"/>
      <c r="E12" s="49">
        <f t="shared" si="0"/>
        <v>0</v>
      </c>
      <c r="F12" s="58"/>
      <c r="G12" s="43"/>
      <c r="H12" s="43"/>
      <c r="I12" s="42"/>
      <c r="K12" t="s">
        <v>49</v>
      </c>
      <c r="O12" s="64" t="s">
        <v>6</v>
      </c>
      <c r="P12" s="74">
        <f t="shared" si="1"/>
        <v>0</v>
      </c>
      <c r="Q12" s="74">
        <f t="shared" si="2"/>
        <v>0</v>
      </c>
      <c r="R12" s="72">
        <f t="shared" si="3"/>
        <v>0</v>
      </c>
      <c r="V12" s="37">
        <v>4</v>
      </c>
    </row>
    <row r="13" spans="1:23" ht="20.100000000000001" customHeight="1" x14ac:dyDescent="0.35">
      <c r="B13" s="57">
        <v>2800</v>
      </c>
      <c r="C13" s="39" t="s">
        <v>7</v>
      </c>
      <c r="D13" s="48">
        <v>7</v>
      </c>
      <c r="E13" s="49">
        <f t="shared" si="0"/>
        <v>19600</v>
      </c>
      <c r="F13" s="58"/>
      <c r="G13" s="43"/>
      <c r="H13" s="43"/>
      <c r="I13" s="42"/>
      <c r="L13" t="s">
        <v>51</v>
      </c>
      <c r="O13" s="64" t="s">
        <v>7</v>
      </c>
      <c r="P13" s="74">
        <f t="shared" si="1"/>
        <v>7</v>
      </c>
      <c r="Q13" s="74">
        <f t="shared" si="2"/>
        <v>19600</v>
      </c>
      <c r="R13" s="72">
        <f t="shared" si="3"/>
        <v>0</v>
      </c>
      <c r="V13" s="37">
        <v>5</v>
      </c>
    </row>
    <row r="14" spans="1:23" ht="20.100000000000001" customHeight="1" x14ac:dyDescent="0.35">
      <c r="B14" s="57">
        <v>2000</v>
      </c>
      <c r="C14" s="39" t="s">
        <v>8</v>
      </c>
      <c r="D14" s="48"/>
      <c r="E14" s="49">
        <f t="shared" si="0"/>
        <v>0</v>
      </c>
      <c r="F14" s="58"/>
      <c r="G14" s="43"/>
      <c r="H14" s="43"/>
      <c r="I14" s="42"/>
      <c r="O14" s="64" t="s">
        <v>8</v>
      </c>
      <c r="P14" s="74">
        <f t="shared" si="1"/>
        <v>0</v>
      </c>
      <c r="Q14" s="74">
        <f t="shared" si="2"/>
        <v>0</v>
      </c>
      <c r="R14" s="72">
        <f t="shared" si="3"/>
        <v>0</v>
      </c>
      <c r="V14" s="37">
        <v>6</v>
      </c>
    </row>
    <row r="15" spans="1:23" ht="20.100000000000001" customHeight="1" x14ac:dyDescent="0.35">
      <c r="B15" s="57">
        <v>1600</v>
      </c>
      <c r="C15" s="39" t="s">
        <v>9</v>
      </c>
      <c r="D15" s="48"/>
      <c r="E15" s="49">
        <f t="shared" si="0"/>
        <v>0</v>
      </c>
      <c r="F15" s="58"/>
      <c r="G15" s="43"/>
      <c r="H15" s="43" t="s">
        <v>51</v>
      </c>
      <c r="I15" s="42"/>
      <c r="O15" s="64" t="s">
        <v>9</v>
      </c>
      <c r="P15" s="74">
        <f t="shared" si="1"/>
        <v>0</v>
      </c>
      <c r="Q15" s="74">
        <f t="shared" si="2"/>
        <v>0</v>
      </c>
      <c r="R15" s="72">
        <f t="shared" si="3"/>
        <v>0</v>
      </c>
      <c r="V15" s="37">
        <v>7</v>
      </c>
    </row>
    <row r="16" spans="1:23" ht="20.100000000000001" customHeight="1" x14ac:dyDescent="0.35">
      <c r="B16" s="57">
        <v>250</v>
      </c>
      <c r="C16" s="39" t="s">
        <v>10</v>
      </c>
      <c r="D16" s="48">
        <v>8</v>
      </c>
      <c r="E16" s="49">
        <f t="shared" si="0"/>
        <v>2000</v>
      </c>
      <c r="F16" s="58"/>
      <c r="G16" s="85" t="s">
        <v>48</v>
      </c>
      <c r="H16" s="51"/>
      <c r="I16" s="42"/>
      <c r="O16" s="64" t="s">
        <v>10</v>
      </c>
      <c r="P16" s="74">
        <f t="shared" si="1"/>
        <v>8</v>
      </c>
      <c r="Q16" s="74">
        <f t="shared" si="2"/>
        <v>2000</v>
      </c>
      <c r="R16" s="72">
        <f t="shared" si="3"/>
        <v>0</v>
      </c>
      <c r="V16" s="37">
        <v>8</v>
      </c>
    </row>
    <row r="17" spans="2:22" ht="20.100000000000001" customHeight="1" x14ac:dyDescent="0.4">
      <c r="B17" s="57">
        <v>2400</v>
      </c>
      <c r="C17" s="39" t="s">
        <v>13</v>
      </c>
      <c r="D17" s="48"/>
      <c r="E17" s="49">
        <f t="shared" si="0"/>
        <v>0</v>
      </c>
      <c r="F17" s="58"/>
      <c r="G17" s="85"/>
      <c r="H17" s="77" t="s">
        <v>45</v>
      </c>
      <c r="I17" s="42"/>
      <c r="K17" t="s">
        <v>51</v>
      </c>
      <c r="O17" s="64" t="s">
        <v>13</v>
      </c>
      <c r="P17" s="74">
        <f t="shared" si="1"/>
        <v>0</v>
      </c>
      <c r="Q17" s="74">
        <f t="shared" si="2"/>
        <v>0</v>
      </c>
      <c r="R17" s="72">
        <f t="shared" si="3"/>
        <v>0</v>
      </c>
      <c r="V17" s="37">
        <v>9</v>
      </c>
    </row>
    <row r="18" spans="2:22" ht="20.100000000000001" customHeight="1" x14ac:dyDescent="0.35">
      <c r="B18" s="57">
        <v>250</v>
      </c>
      <c r="C18" s="40" t="s">
        <v>12</v>
      </c>
      <c r="D18" s="48"/>
      <c r="E18" s="49">
        <f t="shared" si="0"/>
        <v>0</v>
      </c>
      <c r="F18" s="58"/>
      <c r="G18" s="85"/>
      <c r="H18" s="43"/>
      <c r="I18" s="42"/>
      <c r="O18" s="64" t="s">
        <v>12</v>
      </c>
      <c r="P18" s="74">
        <f t="shared" si="1"/>
        <v>0</v>
      </c>
      <c r="Q18" s="74">
        <f t="shared" si="2"/>
        <v>0</v>
      </c>
      <c r="R18" s="72">
        <f t="shared" si="3"/>
        <v>0</v>
      </c>
      <c r="V18" s="37"/>
    </row>
    <row r="19" spans="2:22" ht="20.100000000000001" customHeight="1" x14ac:dyDescent="0.35">
      <c r="B19" s="57">
        <v>200</v>
      </c>
      <c r="C19" s="39" t="s">
        <v>11</v>
      </c>
      <c r="D19" s="48"/>
      <c r="E19" s="49">
        <f t="shared" si="0"/>
        <v>0</v>
      </c>
      <c r="F19" s="58"/>
      <c r="G19" s="43"/>
      <c r="H19" s="43"/>
      <c r="I19" s="42"/>
      <c r="O19" s="64" t="s">
        <v>11</v>
      </c>
      <c r="P19" s="74">
        <f t="shared" si="1"/>
        <v>0</v>
      </c>
      <c r="Q19" s="74">
        <f t="shared" si="2"/>
        <v>0</v>
      </c>
      <c r="R19" s="72">
        <f t="shared" si="3"/>
        <v>0</v>
      </c>
      <c r="V19" s="37"/>
    </row>
    <row r="20" spans="2:22" ht="20.100000000000001" customHeight="1" x14ac:dyDescent="0.3">
      <c r="B20" s="54"/>
      <c r="C20" s="43"/>
      <c r="D20" s="44"/>
      <c r="E20" s="43">
        <f>SUM(E6:E19)</f>
        <v>21600</v>
      </c>
      <c r="F20" s="42">
        <f>SUM(F6:F19)</f>
        <v>0</v>
      </c>
      <c r="G20" s="43"/>
      <c r="H20" s="43"/>
      <c r="I20" s="42"/>
      <c r="J20" s="32"/>
      <c r="O20" s="65"/>
      <c r="P20" s="75"/>
      <c r="Q20" s="75">
        <f t="shared" si="2"/>
        <v>21600</v>
      </c>
      <c r="R20" s="73">
        <f t="shared" si="3"/>
        <v>0</v>
      </c>
      <c r="V20" s="37"/>
    </row>
    <row r="21" spans="2:22" ht="20.100000000000001" customHeight="1" x14ac:dyDescent="0.3">
      <c r="B21" s="54"/>
      <c r="C21" s="43"/>
      <c r="D21" s="44"/>
      <c r="E21" s="43"/>
      <c r="F21" s="42"/>
      <c r="G21" s="43"/>
      <c r="H21" s="43"/>
      <c r="I21" s="42"/>
      <c r="J21" s="32"/>
      <c r="O21" s="66"/>
      <c r="P21" s="86"/>
      <c r="Q21" s="86"/>
      <c r="R21" s="89"/>
      <c r="V21" s="37"/>
    </row>
    <row r="22" spans="2:22" ht="20.100000000000001" customHeight="1" x14ac:dyDescent="0.3">
      <c r="B22" s="54"/>
      <c r="C22" s="43"/>
      <c r="D22" s="44"/>
      <c r="E22" s="43"/>
      <c r="F22" s="42"/>
      <c r="G22" s="43"/>
      <c r="H22" s="43"/>
      <c r="I22" s="42"/>
      <c r="O22" s="90" t="s">
        <v>54</v>
      </c>
      <c r="P22" s="67"/>
      <c r="Q22" s="67"/>
      <c r="R22" s="68"/>
      <c r="V22" s="37"/>
    </row>
    <row r="23" spans="2:22" ht="20.100000000000001" customHeight="1" x14ac:dyDescent="0.3">
      <c r="B23" s="54"/>
      <c r="C23" s="43"/>
      <c r="D23" s="44"/>
      <c r="E23" s="43"/>
      <c r="F23" s="42"/>
      <c r="G23" s="43"/>
      <c r="H23" s="43"/>
      <c r="I23" s="42"/>
      <c r="O23" s="91" t="str">
        <f>H4</f>
        <v>Fegor</v>
      </c>
      <c r="P23" s="67"/>
      <c r="Q23" s="87" t="str">
        <f>H17</f>
        <v>CASH</v>
      </c>
      <c r="R23" s="68"/>
      <c r="V23" s="37"/>
    </row>
    <row r="24" spans="2:22" ht="20.100000000000001" customHeight="1" x14ac:dyDescent="0.3">
      <c r="B24" s="54"/>
      <c r="C24" s="43"/>
      <c r="D24" s="46" t="s">
        <v>23</v>
      </c>
      <c r="E24" s="46">
        <f>SUM(SUMIF(D6:D19,"&lt;&gt;",E6:E19),F6:F19)</f>
        <v>21600</v>
      </c>
      <c r="F24" s="42"/>
      <c r="G24" s="43"/>
      <c r="H24" s="43"/>
      <c r="I24" s="42"/>
      <c r="O24" s="66"/>
      <c r="P24" s="67" t="s">
        <v>23</v>
      </c>
      <c r="Q24" s="67">
        <f>E24</f>
        <v>21600</v>
      </c>
      <c r="R24" s="68"/>
      <c r="V24" s="37"/>
    </row>
    <row r="25" spans="2:22" ht="20.100000000000001" customHeight="1" x14ac:dyDescent="0.3">
      <c r="B25" s="54"/>
      <c r="C25" s="43"/>
      <c r="D25" s="46" t="s">
        <v>25</v>
      </c>
      <c r="E25" s="47">
        <v>20000</v>
      </c>
      <c r="F25" s="42"/>
      <c r="G25" s="43"/>
      <c r="H25" s="43"/>
      <c r="I25" s="42"/>
      <c r="O25" s="66"/>
      <c r="P25" s="67" t="s">
        <v>25</v>
      </c>
      <c r="Q25" s="67">
        <f>E25</f>
        <v>20000</v>
      </c>
      <c r="R25" s="68"/>
      <c r="V25" s="37"/>
    </row>
    <row r="26" spans="2:22" ht="20.100000000000001" customHeight="1" x14ac:dyDescent="0.3">
      <c r="B26" s="54"/>
      <c r="C26" s="43"/>
      <c r="D26" s="46" t="s">
        <v>26</v>
      </c>
      <c r="E26" s="47">
        <f>E25-E24</f>
        <v>-1600</v>
      </c>
      <c r="F26" s="42"/>
      <c r="G26" s="43"/>
      <c r="H26" s="43"/>
      <c r="I26" s="42"/>
      <c r="O26" s="69"/>
      <c r="P26" s="70" t="s">
        <v>26</v>
      </c>
      <c r="Q26" s="70">
        <f>E26</f>
        <v>-1600</v>
      </c>
      <c r="R26" s="71"/>
      <c r="V26" s="37"/>
    </row>
    <row r="27" spans="2:22" x14ac:dyDescent="0.25">
      <c r="B27" s="59"/>
      <c r="C27" s="8"/>
      <c r="D27" s="60"/>
      <c r="E27" s="8"/>
      <c r="F27" s="61"/>
      <c r="G27" s="2"/>
      <c r="H27" s="2"/>
      <c r="I27" s="2"/>
      <c r="K27" t="s">
        <v>50</v>
      </c>
      <c r="V27" s="37"/>
    </row>
    <row r="28" spans="2:22" x14ac:dyDescent="0.25">
      <c r="V28" s="37"/>
    </row>
    <row r="29" spans="2:22" x14ac:dyDescent="0.25">
      <c r="V29" s="37"/>
    </row>
    <row r="30" spans="2:22" x14ac:dyDescent="0.25">
      <c r="V30" s="37"/>
    </row>
    <row r="31" spans="2:22" x14ac:dyDescent="0.25">
      <c r="V31" s="37"/>
    </row>
    <row r="32" spans="2:22" x14ac:dyDescent="0.25">
      <c r="V32" s="37"/>
    </row>
    <row r="33" spans="5:22" x14ac:dyDescent="0.25">
      <c r="E33" t="s">
        <v>49</v>
      </c>
    </row>
    <row r="39" spans="5:22" x14ac:dyDescent="0.25">
      <c r="V39" t="s">
        <v>47</v>
      </c>
    </row>
    <row r="40" spans="5:22" ht="18.75" x14ac:dyDescent="0.3">
      <c r="V40" s="52" t="s">
        <v>45</v>
      </c>
    </row>
    <row r="41" spans="5:22" ht="18.75" x14ac:dyDescent="0.3">
      <c r="V41" s="52" t="s">
        <v>44</v>
      </c>
    </row>
    <row r="42" spans="5:22" ht="18.75" x14ac:dyDescent="0.3">
      <c r="V42" s="52" t="s">
        <v>46</v>
      </c>
    </row>
  </sheetData>
  <mergeCells count="3">
    <mergeCell ref="O4:R4"/>
    <mergeCell ref="G16:G18"/>
    <mergeCell ref="B2:F2"/>
  </mergeCells>
  <dataValidations count="1">
    <dataValidation type="list" allowBlank="1" showInputMessage="1" showErrorMessage="1" sqref="H17">
      <formula1>$V$40:$V$42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5">
                <anchor moveWithCells="1" sizeWithCells="1">
                  <from>
                    <xdr:col>10</xdr:col>
                    <xdr:colOff>142875</xdr:colOff>
                    <xdr:row>38</xdr:row>
                    <xdr:rowOff>9525</xdr:rowOff>
                  </from>
                  <to>
                    <xdr:col>11</xdr:col>
                    <xdr:colOff>428625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INTOUT">
                <anchor>
                  <from>
                    <xdr:col>6</xdr:col>
                    <xdr:colOff>123825</xdr:colOff>
                    <xdr:row>19</xdr:row>
                    <xdr:rowOff>161925</xdr:rowOff>
                  </from>
                  <to>
                    <xdr:col>8</xdr:col>
                    <xdr:colOff>95250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6" name="Button 32">
              <controlPr defaultSize="0" print="0" autoFill="0" autoPict="0" macro="[0]!CLEARALL">
                <anchor>
                  <from>
                    <xdr:col>6</xdr:col>
                    <xdr:colOff>523875</xdr:colOff>
                    <xdr:row>22</xdr:row>
                    <xdr:rowOff>133350</xdr:rowOff>
                  </from>
                  <to>
                    <xdr:col>7</xdr:col>
                    <xdr:colOff>542925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7" name="Button 38">
              <controlPr defaultSize="0" print="0" autoFill="0" autoPict="0" macro="[0]!PRINTRECEIPT">
                <anchor moveWithCells="1" sizeWithCells="1">
                  <from>
                    <xdr:col>10</xdr:col>
                    <xdr:colOff>123825</xdr:colOff>
                    <xdr:row>54</xdr:row>
                    <xdr:rowOff>57150</xdr:rowOff>
                  </from>
                  <to>
                    <xdr:col>11</xdr:col>
                    <xdr:colOff>600075</xdr:colOff>
                    <xdr:row>56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'CERTAIN CUSTOMERS'!$D$4:$D$26</xm:f>
          </x14:formula1>
          <xm:sqref>H4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13"/>
  <sheetViews>
    <sheetView topLeftCell="A4" workbookViewId="0">
      <selection activeCell="D9" sqref="D9"/>
    </sheetView>
  </sheetViews>
  <sheetFormatPr defaultRowHeight="15" x14ac:dyDescent="0.25"/>
  <cols>
    <col min="3" max="3" width="9.140625" style="37"/>
    <col min="4" max="4" width="13.140625" customWidth="1"/>
  </cols>
  <sheetData>
    <row r="3" spans="3:4" x14ac:dyDescent="0.25">
      <c r="C3" s="38" t="s">
        <v>33</v>
      </c>
      <c r="D3" t="s">
        <v>32</v>
      </c>
    </row>
    <row r="4" spans="3:4" x14ac:dyDescent="0.25">
      <c r="C4" s="37">
        <v>0</v>
      </c>
      <c r="D4" t="s">
        <v>37</v>
      </c>
    </row>
    <row r="5" spans="3:4" x14ac:dyDescent="0.25">
      <c r="C5" s="37">
        <v>1</v>
      </c>
      <c r="D5" t="s">
        <v>34</v>
      </c>
    </row>
    <row r="6" spans="3:4" x14ac:dyDescent="0.25">
      <c r="C6" s="37">
        <v>2</v>
      </c>
      <c r="D6" t="s">
        <v>35</v>
      </c>
    </row>
    <row r="7" spans="3:4" x14ac:dyDescent="0.25">
      <c r="C7" s="37">
        <v>3</v>
      </c>
      <c r="D7" t="s">
        <v>36</v>
      </c>
    </row>
    <row r="8" spans="3:4" x14ac:dyDescent="0.25">
      <c r="C8" s="37">
        <v>4</v>
      </c>
      <c r="D8" t="s">
        <v>53</v>
      </c>
    </row>
    <row r="9" spans="3:4" x14ac:dyDescent="0.25">
      <c r="C9" s="37">
        <v>5</v>
      </c>
    </row>
    <row r="10" spans="3:4" x14ac:dyDescent="0.25">
      <c r="C10" s="37">
        <v>6</v>
      </c>
    </row>
    <row r="11" spans="3:4" x14ac:dyDescent="0.25">
      <c r="C11" s="37">
        <v>7</v>
      </c>
    </row>
    <row r="12" spans="3:4" x14ac:dyDescent="0.25">
      <c r="C12" s="37">
        <v>8</v>
      </c>
    </row>
    <row r="13" spans="3:4" x14ac:dyDescent="0.25">
      <c r="C13" s="37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Items</vt:lpstr>
      <vt:lpstr>GODWYNS PLACE RECEIPT </vt:lpstr>
      <vt:lpstr>GODWYNS PLACE RECEIPT COMPLETE</vt:lpstr>
      <vt:lpstr>CERTAIN CUSTOMERS</vt:lpstr>
      <vt:lpstr>'GODWYNS PLACE RECEIPT '!Print_Area</vt:lpstr>
      <vt:lpstr>'GODWYNS PLACE RECEIPT COMPLETE'!Print_Area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Osaru Eguagie</dc:creator>
  <cp:lastModifiedBy>USER</cp:lastModifiedBy>
  <cp:lastPrinted>2022-01-06T19:13:13Z</cp:lastPrinted>
  <dcterms:created xsi:type="dcterms:W3CDTF">2021-12-30T11:00:03Z</dcterms:created>
  <dcterms:modified xsi:type="dcterms:W3CDTF">2022-01-06T19:20:32Z</dcterms:modified>
</cp:coreProperties>
</file>